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模型信息" sheetId="2" state="visible" r:id="rId4"/>
    <sheet name="题目信息" sheetId="3" state="visible" r:id="rId5"/>
    <sheet name="测试记录" sheetId="4" state="visible" r:id="rId6"/>
    <sheet name="能力评分汇总" sheetId="5" state="visible" r:id="rId7"/>
    <sheet name="评分标准" sheetId="6" state="visible" r:id="rId8"/>
  </sheets>
  <definedNames>
    <definedName function="false" hidden="true" localSheetId="3" name="_xlnm._FilterDatabase" vbProcedure="false">测试记录!$B$4:$P$124</definedName>
    <definedName function="false" hidden="true" localSheetId="1" name="_xlnm._FilterDatabase" vbProcedure="false">模型信息!$B$4:$M$24</definedName>
    <definedName function="false" hidden="true" localSheetId="2" name="_xlnm._FilterDatabase" vbProcedure="false">题目信息!$B$4:$O$64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<sst xmlns="http://schemas.openxmlformats.org/spreadsheetml/2006/main" count="293" uniqueCount="227">
  <si>
    <t xml:space="preserve">LLM 大模型十二能力测试集 · 使用说明</t>
  </si>
  <si>
    <t xml:space="preserve">十二能力维度：语言理解 · 信息提取 · 创造力 · 指令遵循 · 复杂推理 · 约束处理 · 结构化输出 · 长文本组织 · 上下文利用 · 信息检索 · 评估 · 错误识别</t>
  </si>
  <si>
    <t xml:space="preserve">一、工作表结构</t>
  </si>
  <si>
    <t xml:space="preserve">工作表</t>
  </si>
  <si>
    <t xml:space="preserve">用途与填写方式</t>
  </si>
  <si>
    <t xml:space="preserve">使用说明</t>
  </si>
  <si>
    <t xml:space="preserve">本页：流程、各表用途与注意事项，只需阅读</t>
  </si>
  <si>
    <t xml:space="preserve">模型信息</t>
  </si>
  <si>
    <t xml:space="preserve">登记参评模型（ID、厂商、接入方式、参数设置），模型ID唯一（M01、M02…）</t>
  </si>
  <si>
    <t xml:space="preserve">题目信息</t>
  </si>
  <si>
    <t xml:space="preserve">十二能力题库：每题归属一个能力维度，含题干、参考答案、评分要点、满分</t>
  </si>
  <si>
    <t xml:space="preserve">测试记录</t>
  </si>
  <si>
    <t xml:space="preserve">每行=某模型×某题×某轮次；D/F/I/K/L列为公式自动带出，其余人工填写</t>
  </si>
  <si>
    <t xml:space="preserve">能力评分汇总</t>
  </si>
  <si>
    <t xml:space="preserve">自动汇总各模型×十二能力得分率、综合分、排名与雷达图，勿手工修改</t>
  </si>
  <si>
    <t xml:space="preserve">评分标准</t>
  </si>
  <si>
    <t xml:space="preserve">通用0-10量表、各维度评分要点、LLM评审提示词模板，按需修改</t>
  </si>
  <si>
    <t xml:space="preserve">二、使用流程（七步）</t>
  </si>
  <si>
    <t xml:space="preserve">步骤</t>
  </si>
  <si>
    <t xml:space="preserve">操作</t>
  </si>
  <si>
    <t xml:space="preserve">1 建模</t>
  </si>
  <si>
    <t xml:space="preserve">在「模型信息」登记模型，记录接入方式与参数设定（温度等全模型保持一致）</t>
  </si>
  <si>
    <t xml:space="preserve">2 建题</t>
  </si>
  <si>
    <t xml:space="preserve">在「题目信息」建题，能力维度用下拉选择；建议每维度10~15题，满分统一10分</t>
  </si>
  <si>
    <t xml:space="preserve">3 施测</t>
  </si>
  <si>
    <t xml:space="preserve">逐模型逐题发起测试，把原始回答完整粘贴到「测试记录」H列</t>
  </si>
  <si>
    <t xml:space="preserve">4 复测</t>
  </si>
  <si>
    <t xml:space="preserve">同一题可多轮测试（运行轮次1/2/3），每轮各占一行，得分率自动平均</t>
  </si>
  <si>
    <t xml:space="preserve">5 评分</t>
  </si>
  <si>
    <t xml:space="preserve">按「评分标准」打分填入J列，并选择评分方式（规则自动/LLM评审/人工）</t>
  </si>
  <si>
    <t xml:space="preserve">6 汇总</t>
  </si>
  <si>
    <t xml:space="preserve">「能力评分汇总」自动计算得分率与排名，雷达图自动更新</t>
  </si>
  <si>
    <t xml:space="preserve">7 定稿</t>
  </si>
  <si>
    <t xml:space="preserve">删除所有标有“示例”的行，另存定稿版本</t>
  </si>
  <si>
    <t xml:space="preserve">三、注意事项</t>
  </si>
  <si>
    <t xml:space="preserve">公式列</t>
  </si>
  <si>
    <t xml:space="preserve">测试记录D/F/I/K/L列与「能力评分汇总」整表均为公式，请勿手工覆盖；误删可从相邻行下拉复制恢复</t>
  </si>
  <si>
    <t xml:space="preserve">精确匹配</t>
  </si>
  <si>
    <t xml:space="preserve">汇总按“模型ID+能力维度”文字精确匹配，能力维度务必用下拉选择，避免“言语理解”等同义异写</t>
  </si>
  <si>
    <t xml:space="preserve">行数扩展</t>
  </si>
  <si>
    <t xml:space="preserve">模板行不够时，选中最后一行整行下拉复制，公式、格式与下拉校验会自动延续</t>
  </si>
  <si>
    <t xml:space="preserve">防污染</t>
  </si>
  <si>
    <t xml:space="preserve">公开真题存在训练数据污染风险：优先用改编题/新编题，并在“污染风险”列如实标注</t>
  </si>
  <si>
    <t xml:space="preserve">一致性</t>
  </si>
  <si>
    <t xml:space="preserve">所有模型使用相同题目、相同参数（温度、推理模式）与相同评分标准，结果才可比</t>
  </si>
  <si>
    <t xml:space="preserve">参评模型登记表</t>
  </si>
  <si>
    <t xml:space="preserve">模型ID</t>
  </si>
  <si>
    <t xml:space="preserve">模型名称</t>
  </si>
  <si>
    <t xml:space="preserve">厂商/提供商</t>
  </si>
  <si>
    <t xml:space="preserve">版本号</t>
  </si>
  <si>
    <t xml:space="preserve">接入方式</t>
  </si>
  <si>
    <t xml:space="preserve">推理模式</t>
  </si>
  <si>
    <t xml:space="preserve">温度</t>
  </si>
  <si>
    <t xml:space="preserve">上下文长度(K)</t>
  </si>
  <si>
    <t xml:space="preserve">发布时间</t>
  </si>
  <si>
    <t xml:space="preserve">测试日期</t>
  </si>
  <si>
    <t xml:space="preserve">状态</t>
  </si>
  <si>
    <t xml:space="preserve">备注</t>
  </si>
  <si>
    <t xml:space="preserve">M01</t>
  </si>
  <si>
    <t xml:space="preserve">GLM-5</t>
  </si>
  <si>
    <t xml:space="preserve">智谱AI</t>
  </si>
  <si>
    <t xml:space="preserve">待填</t>
  </si>
  <si>
    <t xml:space="preserve">API-OpenAI兼容</t>
  </si>
  <si>
    <t xml:space="preserve">跟随模型默认</t>
  </si>
  <si>
    <t xml:space="preserve">待测</t>
  </si>
  <si>
    <t xml:space="preserve">示例行：请按实际修改</t>
  </si>
  <si>
    <t xml:space="preserve">M02</t>
  </si>
  <si>
    <t xml:space="preserve">GPT-5</t>
  </si>
  <si>
    <t xml:space="preserve">OpenAI</t>
  </si>
  <si>
    <t xml:space="preserve">M03</t>
  </si>
  <si>
    <t xml:space="preserve">Claude Opus 4.5</t>
  </si>
  <si>
    <t xml:space="preserve">Anthropic</t>
  </si>
  <si>
    <t xml:space="preserve">M04</t>
  </si>
  <si>
    <t xml:space="preserve">Gemini 3 Pro</t>
  </si>
  <si>
    <t xml:space="preserve">Google</t>
  </si>
  <si>
    <t xml:space="preserve">API-官方SDK</t>
  </si>
  <si>
    <t xml:space="preserve">M05</t>
  </si>
  <si>
    <t xml:space="preserve">DeepSeek-V3.2</t>
  </si>
  <si>
    <t xml:space="preserve">深度求索</t>
  </si>
  <si>
    <t xml:space="preserve">M06</t>
  </si>
  <si>
    <t xml:space="preserve">Qwen3-Max</t>
  </si>
  <si>
    <t xml:space="preserve">阿里巴巴</t>
  </si>
  <si>
    <t xml:space="preserve">M07</t>
  </si>
  <si>
    <t xml:space="preserve">Kimi K2</t>
  </si>
  <si>
    <t xml:space="preserve">月之暗面</t>
  </si>
  <si>
    <t xml:space="preserve">M08</t>
  </si>
  <si>
    <t xml:space="preserve">豆包大模型</t>
  </si>
  <si>
    <t xml:space="preserve">字节跳动</t>
  </si>
  <si>
    <t xml:space="preserve">网页端手动</t>
  </si>
  <si>
    <t xml:space="preserve">十二能力题库（权威题源优先）</t>
  </si>
  <si>
    <t xml:space="preserve">题目ID</t>
  </si>
  <si>
    <t xml:space="preserve">能力维度</t>
  </si>
  <si>
    <t xml:space="preserve">考察子类</t>
  </si>
  <si>
    <t xml:space="preserve">来源类别</t>
  </si>
  <si>
    <t xml:space="preserve">来源详情</t>
  </si>
  <si>
    <t xml:space="preserve">题型</t>
  </si>
  <si>
    <t xml:space="preserve">难度</t>
  </si>
  <si>
    <t xml:space="preserve">题干</t>
  </si>
  <si>
    <t xml:space="preserve">参考答案/要点</t>
  </si>
  <si>
    <t xml:space="preserve">评分要点</t>
  </si>
  <si>
    <t xml:space="preserve">满分</t>
  </si>
  <si>
    <t xml:space="preserve">污染风险</t>
  </si>
  <si>
    <t xml:space="preserve">Q001</t>
  </si>
  <si>
    <t xml:space="preserve">语言理解</t>
  </si>
  <si>
    <t xml:space="preserve">【示例】病句辨析</t>
  </si>
  <si>
    <t xml:space="preserve">新编题</t>
  </si>
  <si>
    <t xml:space="preserve">【示例】新编题可留空</t>
  </si>
  <si>
    <t xml:space="preserve">单项选择</t>
  </si>
  <si>
    <t xml:space="preserve">【示例题干】此处粘贴完整题干与选项；正式建题时请替换本题。</t>
  </si>
  <si>
    <t xml:space="preserve">【示例】C</t>
  </si>
  <si>
    <t xml:space="preserve">【示例】答对得满分10分；答错或未作答0分</t>
  </si>
  <si>
    <t xml:space="preserve">低·新编题</t>
  </si>
  <si>
    <t xml:space="preserve">候选</t>
  </si>
  <si>
    <t xml:space="preserve">示例行：正式建题时替换</t>
  </si>
  <si>
    <t xml:space="preserve">测试原始记录（每行 = 模型 × 题目 × 轮次）</t>
  </si>
  <si>
    <t xml:space="preserve">记录ID</t>
  </si>
  <si>
    <t xml:space="preserve">运行轮次</t>
  </si>
  <si>
    <t xml:space="preserve">模型原始回答</t>
  </si>
  <si>
    <t xml:space="preserve">参考答案</t>
  </si>
  <si>
    <t xml:space="preserve">得分</t>
  </si>
  <si>
    <t xml:space="preserve">得分率</t>
  </si>
  <si>
    <t xml:space="preserve">评分方式</t>
  </si>
  <si>
    <t xml:space="preserve">评语</t>
  </si>
  <si>
    <t xml:space="preserve">R0001</t>
  </si>
  <si>
    <t xml:space="preserve">【示例回答】此处粘贴模型的完整原始输出。（示例数据，正式测试前删除本行）</t>
  </si>
  <si>
    <t xml:space="preserve">LLM评审</t>
  </si>
  <si>
    <t xml:space="preserve">【示例】示例记录，正式测试前删除本行</t>
  </si>
  <si>
    <t xml:space="preserve">2026-10-22</t>
  </si>
  <si>
    <t xml:space="preserve">示例行</t>
  </si>
  <si>
    <t xml:space="preserve">R0002</t>
  </si>
  <si>
    <t xml:space="preserve">规则自动判分</t>
  </si>
  <si>
    <t xml:space="preserve">能力评分汇总（公式自动计算，无需手工填写）</t>
  </si>
  <si>
    <t xml:space="preserve">信息提取</t>
  </si>
  <si>
    <t xml:space="preserve">创造力</t>
  </si>
  <si>
    <t xml:space="preserve">指令遵循</t>
  </si>
  <si>
    <t xml:space="preserve">复杂推理</t>
  </si>
  <si>
    <t xml:space="preserve">约束处理</t>
  </si>
  <si>
    <t xml:space="preserve">结构化输出</t>
  </si>
  <si>
    <t xml:space="preserve">长文本组织</t>
  </si>
  <si>
    <t xml:space="preserve">上下文利用</t>
  </si>
  <si>
    <t xml:space="preserve">信息检索</t>
  </si>
  <si>
    <t xml:space="preserve">评估</t>
  </si>
  <si>
    <t xml:space="preserve">错误识别</t>
  </si>
  <si>
    <t xml:space="preserve">综合得分率</t>
  </si>
  <si>
    <t xml:space="preserve">测试记录数</t>
  </si>
  <si>
    <t xml:space="preserve">排名</t>
  </si>
  <si>
    <t xml:space="preserve">注：本表全部由公式自动计算（按模型ID + 能力维度精确匹配测试记录）；雷达图默认展示前2个模型，新增模型后可右键图表→选择数据，调整展示对象。</t>
  </si>
  <si>
    <t xml:space="preserve">评分标准与 LLM 评审提示词</t>
  </si>
  <si>
    <t xml:space="preserve">一、通用评分量表（每题默认满分10分）</t>
  </si>
  <si>
    <t xml:space="preserve">分数段</t>
  </si>
  <si>
    <t xml:space="preserve">等级</t>
  </si>
  <si>
    <t xml:space="preserve">描述</t>
  </si>
  <si>
    <t xml:space="preserve">9~10</t>
  </si>
  <si>
    <t xml:space="preserve">优秀</t>
  </si>
  <si>
    <t xml:space="preserve">完全满足要求：答案正确、完整，产出质量高，无事实性或逻辑错误</t>
  </si>
  <si>
    <t xml:space="preserve">7~8</t>
  </si>
  <si>
    <t xml:space="preserve">良好</t>
  </si>
  <si>
    <t xml:space="preserve">主体正确：结论或产出基本正确，仅有轻微瑕疵（表述、格式、小遗漏），不影响使用</t>
  </si>
  <si>
    <t xml:space="preserve">5~6</t>
  </si>
  <si>
    <t xml:space="preserve">中等</t>
  </si>
  <si>
    <t xml:space="preserve">部分正确：关键内容约半数正确，或产出明显偏离要求但仍有可用成分</t>
  </si>
  <si>
    <t xml:space="preserve">3~4</t>
  </si>
  <si>
    <t xml:space="preserve">较差</t>
  </si>
  <si>
    <t xml:space="preserve">基本错误：仅有少量正确成分，或严重偏离题目要求</t>
  </si>
  <si>
    <t xml:space="preserve">0~2</t>
  </si>
  <si>
    <t xml:space="preserve">失败</t>
  </si>
  <si>
    <t xml:space="preserve">完全错误、答非所问、拒答，或严重违反题目约束</t>
  </si>
  <si>
    <t xml:space="preserve">客观选择题可简化为：答对10分、答错0分；多项选择全对10分、漏选酌情给分、错选0分。</t>
  </si>
  <si>
    <t xml:space="preserve">二、各能力维度评分要点</t>
  </si>
  <si>
    <t xml:space="preserve">考察点</t>
  </si>
  <si>
    <t xml:space="preserve">推荐题型与题源</t>
  </si>
  <si>
    <t xml:space="preserve">评分要点/通过标准</t>
  </si>
  <si>
    <t xml:space="preserve">词义辨析、病句、文言文、阅读理解深层含义</t>
  </si>
  <si>
    <t xml:space="preserve">高考语文真题（选择/简答）；考研英语阅读</t>
  </si>
  <si>
    <t xml:space="preserve">客观题按对错计分；简答按要点覆盖度给分</t>
  </si>
  <si>
    <t xml:space="preserve">实体/数值/时间/因果关系的抽取与表格化</t>
  </si>
  <si>
    <t xml:space="preserve">合同、新闻、简历等真实文本改编题</t>
  </si>
  <si>
    <t xml:space="preserve">字段全部正确得满分，漏、错一处扣1~2分</t>
  </si>
  <si>
    <t xml:space="preserve">新颖性、流畅性、灵活性、文字表现力</t>
  </si>
  <si>
    <t xml:space="preserve">高考作文题、命题写作、发散性任务</t>
  </si>
  <si>
    <t xml:space="preserve">按新颖性/切题度/结构/语言分项加权</t>
  </si>
  <si>
    <t xml:space="preserve">多指令复合：格式+字数+语气+顺序</t>
  </si>
  <si>
    <t xml:space="preserve">IFEval类约束指令、多步任务</t>
  </si>
  <si>
    <t xml:space="preserve">逐条核对指令，满足一条记一分，按比例折算</t>
  </si>
  <si>
    <t xml:space="preserve">多步数学、逻辑演绎、因果链条</t>
  </si>
  <si>
    <t xml:space="preserve">高考数学、GSM8K/MATH、考研逻辑</t>
  </si>
  <si>
    <t xml:space="preserve">过程与结论分开评：结论对但过程错最多6分</t>
  </si>
  <si>
    <t xml:space="preserve">硬约束不违反：禁用词、必含要素、长度上限</t>
  </si>
  <si>
    <t xml:space="preserve">多重约束写作题（如100字内、禁用某字）</t>
  </si>
  <si>
    <t xml:space="preserve">违反任一硬约束直接0~2分；软约束酌情扣分</t>
  </si>
  <si>
    <t xml:space="preserve">JSON/YAML/表格的合法性、完整性、可解析性</t>
  </si>
  <si>
    <t xml:space="preserve">文本转JSON/Markdown表格任务</t>
  </si>
  <si>
    <t xml:space="preserve">程序校验：解析失败0分；字段缺失按比例扣分</t>
  </si>
  <si>
    <t xml:space="preserve">长文摘要完整性、报告结构性、多篇融合</t>
  </si>
  <si>
    <t xml:space="preserve">长报告摘要、LongBench类任务</t>
  </si>
  <si>
    <t xml:space="preserve">按覆盖率+忠实度+结构性三个维度评</t>
  </si>
  <si>
    <t xml:space="preserve">指代消解、多轮依赖、上文信息沿用</t>
  </si>
  <si>
    <t xml:space="preserve">多轮对话题、大海捞针变体</t>
  </si>
  <si>
    <t xml:space="preserve">必须依托上文信息才能答对才算通过</t>
  </si>
  <si>
    <t xml:space="preserve">给定材料内定位证据、多跳查找、标注出处</t>
  </si>
  <si>
    <t xml:space="preserve">提供文档集的问答（RAG式）</t>
  </si>
  <si>
    <t xml:space="preserve">答案须出自给定材料并给出处；编造0分</t>
  </si>
  <si>
    <t xml:space="preserve">对文本/作文/方案判优劣并给出理由</t>
  </si>
  <si>
    <t xml:space="preserve">高考作文互评、方案对比排序</t>
  </si>
  <si>
    <t xml:space="preserve">判断结论与理由质量各占一半权重</t>
  </si>
  <si>
    <t xml:space="preserve">病句、事实错误、逻辑漏洞、代码bug定位</t>
  </si>
  <si>
    <t xml:space="preserve">高考病句题、植入错误的代码或短文</t>
  </si>
  <si>
    <t xml:space="preserve">找全且改对得满分；漏找、误报按比例扣分</t>
  </si>
  <si>
    <t xml:space="preserve">三、LLM评审提示词模板（复制后填入三处空位，即可用强模型评弱模型）</t>
  </si>
  <si>
    <t xml:space="preserve">1</t>
  </si>
  <si>
    <t xml:space="preserve">你是严格且公正的阅卷评分官。请根据下面三部分信息，对【模型回答】打分：</t>
  </si>
  <si>
    <t xml:space="preserve">2</t>
  </si>
  <si>
    <t xml:space="preserve">【题目】&lt;粘贴题干与全部要求&gt;</t>
  </si>
  <si>
    <t xml:space="preserve">3</t>
  </si>
  <si>
    <t xml:space="preserve">【参考答案/评分要点】&lt;粘贴题目信息表中的参考答案与评分要点&gt;</t>
  </si>
  <si>
    <t xml:space="preserve">4</t>
  </si>
  <si>
    <t xml:space="preserve">【模型回答】&lt;粘贴测试记录表中的模型原始回答&gt;</t>
  </si>
  <si>
    <t xml:space="preserve">5</t>
  </si>
  <si>
    <t xml:space="preserve">评分规则：满分10分。先逐条核对要求与评分要点，指出对错；再检查硬约束；最后给总分。</t>
  </si>
  <si>
    <t xml:space="preserve">6</t>
  </si>
  <si>
    <t xml:space="preserve">只按以下格式输出：</t>
  </si>
  <si>
    <t xml:space="preserve">7</t>
  </si>
  <si>
    <t xml:space="preserve">分析：&lt;逐条核对过程与扣分理由&gt;</t>
  </si>
  <si>
    <t xml:space="preserve">8</t>
  </si>
  <si>
    <t xml:space="preserve">得分：&lt;0-10的整数&gt;</t>
  </si>
  <si>
    <t xml:space="preserve">9</t>
  </si>
  <si>
    <t xml:space="preserve">提示：不因冗长加分；约束类题目违反任一硬约束，总分不超过2分。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</si>
</sst>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0"/>
    <numFmt numFmtId="168" formatCode="0.0%"/>
    <numFmt numFmtId="169" formatCode="0%"/>
  </numFmts>
  <fonts count="11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SC"/>
      <family val="0"/>
      <charset val="1"/>
    </font>
    <font>
      <sz val="9"/>
      <color rgb="FF8C8A84"/>
      <name val="Noto Sans SC"/>
      <family val="0"/>
      <charset val="1"/>
    </font>
    <font>
      <sz val="11"/>
      <color rgb="FF1B2A4A"/>
      <name val="Noto Sans SC"/>
      <family val="0"/>
      <charset val="1"/>
    </font>
    <font>
      <sz val="11"/>
      <color rgb="FFFFFFFF"/>
      <name val="Noto Sans SC"/>
      <family val="0"/>
      <charset val="1"/>
    </font>
    <font>
      <sz val="11"/>
      <color rgb="FF37352F"/>
      <name val="Noto Sans SC"/>
      <family val="0"/>
      <charset val="1"/>
    </font>
    <font>
      <sz val="12"/>
      <color rgb="FF000000"/>
      <name val="Noto Sans SC"/>
      <family val="2"/>
    </font>
    <font>
      <sz val="10"/>
      <color rgb="FF000000"/>
      <name val="Noto Sans SC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9E9E8"/>
      </patternFill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8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78787"/>
      <rgbColor rgb="FF9999FF"/>
      <rgbColor rgb="FF993366"/>
      <rgbColor rgb="FFF7F7F5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A84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0" u="none" strike="noStrike">
                <a:solidFill>
                  <a:srgbClr val="000000"/>
                </a:solidFill>
                <a:uFillTx/>
                <a:latin typeface="Noto Sans SC"/>
              </a:rPr>
              <a:t>十二能力雷达图（得分率）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能力评分汇总!C5</c:f>
              <c:strCache>
                <c:ptCount val="1"/>
                <c:pt idx="0">
                  <c:v>GLM-5</c:v>
                </c:pt>
              </c:strCache>
            </c:strRef>
          </c:tx>
          <c:spPr>
            <a:ln w="21960">
              <a:solidFill>
                <a:srgbClr val="1B2A4A"/>
              </a:solidFill>
              <a:round/>
            </a:ln>
          </c:spPr>
          <c:marker>
            <c:symbol val="circle"/>
            <c:size val="5"/>
            <c:spPr>
              <a:solidFill>
                <a:srgbClr val="1B2A4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能力评分汇总!$D$4:$O$4</c:f>
              <c:strCache>
                <c:ptCount val="12"/>
                <c:pt idx="0">
                  <c:v>语言理解</c:v>
                </c:pt>
                <c:pt idx="1">
                  <c:v>信息提取</c:v>
                </c:pt>
                <c:pt idx="2">
                  <c:v>创造力</c:v>
                </c:pt>
                <c:pt idx="3">
                  <c:v>指令遵循</c:v>
                </c:pt>
                <c:pt idx="4">
                  <c:v>复杂推理</c:v>
                </c:pt>
                <c:pt idx="5">
                  <c:v>约束处理</c:v>
                </c:pt>
                <c:pt idx="6">
                  <c:v>结构化输出</c:v>
                </c:pt>
                <c:pt idx="7">
                  <c:v>长文本组织</c:v>
                </c:pt>
                <c:pt idx="8">
                  <c:v>上下文利用</c:v>
                </c:pt>
                <c:pt idx="9">
                  <c:v>信息检索</c:v>
                </c:pt>
                <c:pt idx="10">
                  <c:v>评估</c:v>
                </c:pt>
                <c:pt idx="11">
                  <c:v>错误识别</c:v>
                </c:pt>
              </c:strCache>
            </c:strRef>
          </c:cat>
          <c:val>
            <c:numRef>
              <c:f>能力评分汇总!$D$5:$O$5</c:f>
              <c:numCache>
                <c:formatCode>0.0%</c:formatCode>
                <c:ptCount val="12"/>
                <c:pt idx="0">
                  <c:v>0.8</c:v>
                </c:pt>
              </c:numCache>
            </c:numRef>
          </c:val>
        </c:ser>
        <c:ser>
          <c:idx val="1"/>
          <c:order val="1"/>
          <c:tx>
            <c:strRef>
              <c:f>能力评分汇总!C6</c:f>
              <c:strCache>
                <c:ptCount val="1"/>
                <c:pt idx="0">
                  <c:v>GPT-5</c:v>
                </c:pt>
              </c:strCache>
            </c:strRef>
          </c:tx>
          <c:spPr>
            <a:ln w="21960">
              <a:solidFill>
                <a:srgbClr val="1B7D46"/>
              </a:solidFill>
              <a:round/>
            </a:ln>
          </c:spPr>
          <c:marker>
            <c:symbol val="circle"/>
            <c:size val="5"/>
            <c:spPr>
              <a:solidFill>
                <a:srgbClr val="1B7D4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能力评分汇总!$D$4:$O$4</c:f>
              <c:strCache>
                <c:ptCount val="12"/>
                <c:pt idx="0">
                  <c:v>语言理解</c:v>
                </c:pt>
                <c:pt idx="1">
                  <c:v>信息提取</c:v>
                </c:pt>
                <c:pt idx="2">
                  <c:v>创造力</c:v>
                </c:pt>
                <c:pt idx="3">
                  <c:v>指令遵循</c:v>
                </c:pt>
                <c:pt idx="4">
                  <c:v>复杂推理</c:v>
                </c:pt>
                <c:pt idx="5">
                  <c:v>约束处理</c:v>
                </c:pt>
                <c:pt idx="6">
                  <c:v>结构化输出</c:v>
                </c:pt>
                <c:pt idx="7">
                  <c:v>长文本组织</c:v>
                </c:pt>
                <c:pt idx="8">
                  <c:v>上下文利用</c:v>
                </c:pt>
                <c:pt idx="9">
                  <c:v>信息检索</c:v>
                </c:pt>
                <c:pt idx="10">
                  <c:v>评估</c:v>
                </c:pt>
                <c:pt idx="11">
                  <c:v>错误识别</c:v>
                </c:pt>
              </c:strCache>
            </c:strRef>
          </c:cat>
          <c:val>
            <c:numRef>
              <c:f>能力评分汇总!$D$6:$O$6</c:f>
              <c:numCache>
                <c:formatCode>0.0%</c:formatCode>
                <c:ptCount val="12"/>
                <c:pt idx="0">
                  <c:v>0.6</c:v>
                </c:pt>
              </c:numCache>
            </c:numRef>
          </c:val>
        </c:ser>
        <c:axId val="51298253"/>
        <c:axId val="86999939"/>
      </c:radarChart>
      <c:catAx>
        <c:axId val="512982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999939"/>
        <c:crosses val="autoZero"/>
        <c:auto val="1"/>
        <c:lblAlgn val="ctr"/>
        <c:lblOffset val="100"/>
        <c:noMultiLvlLbl val="0"/>
      </c:catAx>
      <c:valAx>
        <c:axId val="8699993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298253"/>
        <c:crosses val="autoZero"/>
        <c:crossBetween val="midCat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10</xdr:col>
      <xdr:colOff>10080</xdr:colOff>
      <xdr:row>49</xdr:row>
      <xdr:rowOff>128520</xdr:rowOff>
    </xdr:to>
    <xdr:graphicFrame>
      <xdr:nvGraphicFramePr>
        <xdr:cNvPr id="1" name="Chart 1"/>
        <xdr:cNvGraphicFramePr/>
      </xdr:nvGraphicFramePr>
      <xdr:xfrm>
        <a:off x="211320" y="713412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10.92"/>
    <col collapsed="false" customWidth="true" hidden="false" outlineLevel="0" max="3" min="3" style="0" width="90.9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</row>
    <row r="3" customFormat="false" ht="7.5" hidden="false" customHeight="true" outlineLevel="0" collapsed="false"/>
    <row r="4" customFormat="false" ht="15" hidden="false" customHeight="false" outlineLevel="0" collapsed="false">
      <c r="B4" s="2" t="s">
        <v>1</v>
      </c>
    </row>
    <row r="6" customFormat="false" ht="24" hidden="false" customHeight="true" outlineLevel="0" collapsed="false">
      <c r="B6" s="3" t="s">
        <v>2</v>
      </c>
      <c r="C6" s="3"/>
    </row>
    <row r="7" customFormat="false" ht="27.75" hidden="false" customHeight="true" outlineLevel="0" collapsed="false">
      <c r="B7" s="4" t="s">
        <v>3</v>
      </c>
      <c r="C7" s="4" t="s">
        <v>4</v>
      </c>
    </row>
    <row r="8" customFormat="false" ht="19.5" hidden="false" customHeight="true" outlineLevel="0" collapsed="false">
      <c r="B8" s="5" t="s">
        <v>5</v>
      </c>
      <c r="C8" s="5" t="s">
        <v>6</v>
      </c>
    </row>
    <row r="9" customFormat="false" ht="19.5" hidden="false" customHeight="true" outlineLevel="0" collapsed="false">
      <c r="B9" s="6" t="s">
        <v>7</v>
      </c>
      <c r="C9" s="6" t="s">
        <v>8</v>
      </c>
    </row>
    <row r="10" customFormat="false" ht="19.5" hidden="false" customHeight="true" outlineLevel="0" collapsed="false">
      <c r="B10" s="5" t="s">
        <v>9</v>
      </c>
      <c r="C10" s="5" t="s">
        <v>10</v>
      </c>
    </row>
    <row r="11" customFormat="false" ht="19.5" hidden="false" customHeight="true" outlineLevel="0" collapsed="false">
      <c r="B11" s="6" t="s">
        <v>11</v>
      </c>
      <c r="C11" s="6" t="s">
        <v>12</v>
      </c>
    </row>
    <row r="12" customFormat="false" ht="19.5" hidden="false" customHeight="true" outlineLevel="0" collapsed="false">
      <c r="B12" s="5" t="s">
        <v>13</v>
      </c>
      <c r="C12" s="5" t="s">
        <v>14</v>
      </c>
    </row>
    <row r="13" customFormat="false" ht="19.5" hidden="false" customHeight="true" outlineLevel="0" collapsed="false">
      <c r="B13" s="6" t="s">
        <v>15</v>
      </c>
      <c r="C13" s="6" t="s">
        <v>16</v>
      </c>
    </row>
    <row r="15" customFormat="false" ht="24" hidden="false" customHeight="true" outlineLevel="0" collapsed="false">
      <c r="B15" s="3" t="s">
        <v>17</v>
      </c>
      <c r="C15" s="3"/>
    </row>
    <row r="16" customFormat="false" ht="27.75" hidden="false" customHeight="true" outlineLevel="0" collapsed="false">
      <c r="B16" s="4" t="s">
        <v>18</v>
      </c>
      <c r="C16" s="4" t="s">
        <v>19</v>
      </c>
    </row>
    <row r="17" customFormat="false" ht="19.5" hidden="false" customHeight="true" outlineLevel="0" collapsed="false">
      <c r="B17" s="5" t="s">
        <v>20</v>
      </c>
      <c r="C17" s="5" t="s">
        <v>21</v>
      </c>
    </row>
    <row r="18" customFormat="false" ht="19.5" hidden="false" customHeight="true" outlineLevel="0" collapsed="false">
      <c r="B18" s="6" t="s">
        <v>22</v>
      </c>
      <c r="C18" s="6" t="s">
        <v>23</v>
      </c>
    </row>
    <row r="19" customFormat="false" ht="19.5" hidden="false" customHeight="true" outlineLevel="0" collapsed="false">
      <c r="B19" s="5" t="s">
        <v>24</v>
      </c>
      <c r="C19" s="5" t="s">
        <v>25</v>
      </c>
    </row>
    <row r="20" customFormat="false" ht="19.5" hidden="false" customHeight="true" outlineLevel="0" collapsed="false">
      <c r="B20" s="6" t="s">
        <v>26</v>
      </c>
      <c r="C20" s="6" t="s">
        <v>27</v>
      </c>
    </row>
    <row r="21" customFormat="false" ht="19.5" hidden="false" customHeight="true" outlineLevel="0" collapsed="false">
      <c r="B21" s="5" t="s">
        <v>28</v>
      </c>
      <c r="C21" s="5" t="s">
        <v>29</v>
      </c>
    </row>
    <row r="22" customFormat="false" ht="19.5" hidden="false" customHeight="true" outlineLevel="0" collapsed="false">
      <c r="B22" s="6" t="s">
        <v>30</v>
      </c>
      <c r="C22" s="6" t="s">
        <v>31</v>
      </c>
    </row>
    <row r="23" customFormat="false" ht="19.5" hidden="false" customHeight="true" outlineLevel="0" collapsed="false">
      <c r="B23" s="5" t="s">
        <v>32</v>
      </c>
      <c r="C23" s="5" t="s">
        <v>33</v>
      </c>
    </row>
    <row r="25" customFormat="false" ht="24" hidden="false" customHeight="true" outlineLevel="0" collapsed="false">
      <c r="B25" s="3" t="s">
        <v>34</v>
      </c>
      <c r="C25" s="3"/>
    </row>
    <row r="26" customFormat="false" ht="19.5" hidden="false" customHeight="true" outlineLevel="0" collapsed="false">
      <c r="B26" s="5" t="s">
        <v>35</v>
      </c>
      <c r="C26" s="5" t="s">
        <v>36</v>
      </c>
    </row>
    <row r="27" customFormat="false" ht="19.5" hidden="false" customHeight="true" outlineLevel="0" collapsed="false">
      <c r="B27" s="6" t="s">
        <v>37</v>
      </c>
      <c r="C27" s="6" t="s">
        <v>38</v>
      </c>
    </row>
    <row r="28" customFormat="false" ht="19.5" hidden="false" customHeight="true" outlineLevel="0" collapsed="false">
      <c r="B28" s="5" t="s">
        <v>39</v>
      </c>
      <c r="C28" s="5" t="s">
        <v>40</v>
      </c>
    </row>
    <row r="29" customFormat="false" ht="19.5" hidden="false" customHeight="true" outlineLevel="0" collapsed="false">
      <c r="B29" s="6" t="s">
        <v>41</v>
      </c>
      <c r="C29" s="6" t="s">
        <v>42</v>
      </c>
    </row>
    <row r="30" customFormat="false" ht="19.5" hidden="false" customHeight="true" outlineLevel="0" collapsed="false">
      <c r="B30" s="5" t="s">
        <v>43</v>
      </c>
      <c r="C30" s="5" t="s">
        <v>44</v>
      </c>
    </row>
  </sheetData>
  <mergeCells count="4">
    <mergeCell ref="B2:C2"/>
    <mergeCell ref="B6:C6"/>
    <mergeCell ref="B15:C15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7.28"/>
    <col collapsed="false" customWidth="true" hidden="false" outlineLevel="0" max="3" min="3" style="0" width="16.38"/>
    <col collapsed="false" customWidth="true" hidden="false" outlineLevel="0" max="4" min="4" style="0" width="10.92"/>
    <col collapsed="false" customWidth="true" hidden="false" outlineLevel="0" max="5" min="5" style="0" width="7.28"/>
    <col collapsed="false" customWidth="true" hidden="false" outlineLevel="0" max="6" min="6" style="0" width="14.56"/>
    <col collapsed="false" customWidth="true" hidden="false" outlineLevel="0" max="7" min="7" style="0" width="13.65"/>
    <col collapsed="false" customWidth="true" hidden="false" outlineLevel="0" max="12" min="8" style="0" width="7.28"/>
    <col collapsed="false" customWidth="true" hidden="false" outlineLevel="0" max="13" min="13" style="0" width="23.6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7.5" hidden="false" customHeight="true" outlineLevel="0" collapsed="false"/>
    <row r="4" customFormat="false" ht="37.5" hidden="false" customHeight="true" outlineLevel="0" collapsed="false"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55</v>
      </c>
      <c r="L4" s="4" t="s">
        <v>56</v>
      </c>
      <c r="M4" s="4" t="s">
        <v>57</v>
      </c>
    </row>
    <row r="5" customFormat="false" ht="21.75" hidden="false" customHeight="true" outlineLevel="0" collapsed="false">
      <c r="B5" s="7" t="s">
        <v>58</v>
      </c>
      <c r="C5" s="7" t="s">
        <v>59</v>
      </c>
      <c r="D5" s="7" t="s">
        <v>60</v>
      </c>
      <c r="E5" s="7" t="s">
        <v>61</v>
      </c>
      <c r="F5" s="7" t="s">
        <v>62</v>
      </c>
      <c r="G5" s="7" t="s">
        <v>63</v>
      </c>
      <c r="H5" s="8" t="n">
        <v>0.7</v>
      </c>
      <c r="I5" s="9" t="n">
        <v>128</v>
      </c>
      <c r="J5" s="10"/>
      <c r="K5" s="10"/>
      <c r="L5" s="7" t="s">
        <v>64</v>
      </c>
      <c r="M5" s="7" t="s">
        <v>65</v>
      </c>
    </row>
    <row r="6" customFormat="false" ht="21.75" hidden="false" customHeight="true" outlineLevel="0" collapsed="false">
      <c r="B6" s="11" t="s">
        <v>66</v>
      </c>
      <c r="C6" s="11" t="s">
        <v>67</v>
      </c>
      <c r="D6" s="11" t="s">
        <v>68</v>
      </c>
      <c r="E6" s="11" t="s">
        <v>61</v>
      </c>
      <c r="F6" s="11" t="s">
        <v>62</v>
      </c>
      <c r="G6" s="11" t="s">
        <v>63</v>
      </c>
      <c r="H6" s="12" t="n">
        <v>0.7</v>
      </c>
      <c r="I6" s="13" t="n">
        <v>400</v>
      </c>
      <c r="J6" s="14"/>
      <c r="K6" s="14"/>
      <c r="L6" s="11" t="s">
        <v>64</v>
      </c>
      <c r="M6" s="11" t="s">
        <v>65</v>
      </c>
    </row>
    <row r="7" customFormat="false" ht="21.75" hidden="false" customHeight="true" outlineLevel="0" collapsed="false">
      <c r="B7" s="7" t="s">
        <v>69</v>
      </c>
      <c r="C7" s="7" t="s">
        <v>70</v>
      </c>
      <c r="D7" s="7" t="s">
        <v>71</v>
      </c>
      <c r="E7" s="7" t="s">
        <v>61</v>
      </c>
      <c r="F7" s="7" t="s">
        <v>62</v>
      </c>
      <c r="G7" s="7" t="s">
        <v>63</v>
      </c>
      <c r="H7" s="8" t="n">
        <v>0.7</v>
      </c>
      <c r="I7" s="9" t="n">
        <v>200</v>
      </c>
      <c r="J7" s="10"/>
      <c r="K7" s="10"/>
      <c r="L7" s="7" t="s">
        <v>64</v>
      </c>
      <c r="M7" s="7" t="s">
        <v>65</v>
      </c>
    </row>
    <row r="8" customFormat="false" ht="21.75" hidden="false" customHeight="true" outlineLevel="0" collapsed="false">
      <c r="B8" s="11" t="s">
        <v>72</v>
      </c>
      <c r="C8" s="11" t="s">
        <v>73</v>
      </c>
      <c r="D8" s="11" t="s">
        <v>74</v>
      </c>
      <c r="E8" s="11" t="s">
        <v>61</v>
      </c>
      <c r="F8" s="11" t="s">
        <v>75</v>
      </c>
      <c r="G8" s="11" t="s">
        <v>63</v>
      </c>
      <c r="H8" s="12" t="n">
        <v>0.7</v>
      </c>
      <c r="I8" s="13" t="n">
        <v>1000</v>
      </c>
      <c r="J8" s="14"/>
      <c r="K8" s="14"/>
      <c r="L8" s="11" t="s">
        <v>64</v>
      </c>
      <c r="M8" s="11" t="s">
        <v>65</v>
      </c>
    </row>
    <row r="9" customFormat="false" ht="21.75" hidden="false" customHeight="true" outlineLevel="0" collapsed="false">
      <c r="B9" s="7" t="s">
        <v>76</v>
      </c>
      <c r="C9" s="7" t="s">
        <v>77</v>
      </c>
      <c r="D9" s="7" t="s">
        <v>78</v>
      </c>
      <c r="E9" s="7" t="s">
        <v>61</v>
      </c>
      <c r="F9" s="7" t="s">
        <v>62</v>
      </c>
      <c r="G9" s="7" t="s">
        <v>63</v>
      </c>
      <c r="H9" s="8" t="n">
        <v>0.7</v>
      </c>
      <c r="I9" s="9" t="n">
        <v>128</v>
      </c>
      <c r="J9" s="10"/>
      <c r="K9" s="10"/>
      <c r="L9" s="7" t="s">
        <v>64</v>
      </c>
      <c r="M9" s="7" t="s">
        <v>65</v>
      </c>
    </row>
    <row r="10" customFormat="false" ht="21.75" hidden="false" customHeight="true" outlineLevel="0" collapsed="false">
      <c r="B10" s="11" t="s">
        <v>79</v>
      </c>
      <c r="C10" s="11" t="s">
        <v>80</v>
      </c>
      <c r="D10" s="11" t="s">
        <v>81</v>
      </c>
      <c r="E10" s="11" t="s">
        <v>61</v>
      </c>
      <c r="F10" s="11" t="s">
        <v>62</v>
      </c>
      <c r="G10" s="11" t="s">
        <v>63</v>
      </c>
      <c r="H10" s="12" t="n">
        <v>0.7</v>
      </c>
      <c r="I10" s="13" t="n">
        <v>262</v>
      </c>
      <c r="J10" s="14"/>
      <c r="K10" s="14"/>
      <c r="L10" s="11" t="s">
        <v>64</v>
      </c>
      <c r="M10" s="11" t="s">
        <v>65</v>
      </c>
    </row>
    <row r="11" customFormat="false" ht="21.75" hidden="false" customHeight="true" outlineLevel="0" collapsed="false">
      <c r="B11" s="7" t="s">
        <v>82</v>
      </c>
      <c r="C11" s="7" t="s">
        <v>83</v>
      </c>
      <c r="D11" s="7" t="s">
        <v>84</v>
      </c>
      <c r="E11" s="7" t="s">
        <v>61</v>
      </c>
      <c r="F11" s="7" t="s">
        <v>62</v>
      </c>
      <c r="G11" s="7" t="s">
        <v>63</v>
      </c>
      <c r="H11" s="8" t="n">
        <v>0.7</v>
      </c>
      <c r="I11" s="9" t="n">
        <v>256</v>
      </c>
      <c r="J11" s="10"/>
      <c r="K11" s="10"/>
      <c r="L11" s="7" t="s">
        <v>64</v>
      </c>
      <c r="M11" s="7" t="s">
        <v>65</v>
      </c>
    </row>
    <row r="12" customFormat="false" ht="21.75" hidden="false" customHeight="true" outlineLevel="0" collapsed="false">
      <c r="B12" s="11" t="s">
        <v>85</v>
      </c>
      <c r="C12" s="11" t="s">
        <v>86</v>
      </c>
      <c r="D12" s="11" t="s">
        <v>87</v>
      </c>
      <c r="E12" s="11" t="s">
        <v>61</v>
      </c>
      <c r="F12" s="11" t="s">
        <v>88</v>
      </c>
      <c r="G12" s="11" t="s">
        <v>63</v>
      </c>
      <c r="H12" s="12" t="n">
        <v>0.7</v>
      </c>
      <c r="I12" s="13" t="n">
        <v>256</v>
      </c>
      <c r="J12" s="14"/>
      <c r="K12" s="14"/>
      <c r="L12" s="11" t="s">
        <v>64</v>
      </c>
      <c r="M12" s="11" t="s">
        <v>65</v>
      </c>
    </row>
    <row r="13" customFormat="false" ht="21.75" hidden="false" customHeight="true" outlineLevel="0" collapsed="false">
      <c r="B13" s="7"/>
      <c r="C13" s="7"/>
      <c r="D13" s="7"/>
      <c r="E13" s="7"/>
      <c r="F13" s="7"/>
      <c r="G13" s="7"/>
      <c r="H13" s="8"/>
      <c r="I13" s="9"/>
      <c r="J13" s="10"/>
      <c r="K13" s="10"/>
      <c r="L13" s="7"/>
      <c r="M13" s="7"/>
    </row>
    <row r="14" customFormat="false" ht="21.75" hidden="false" customHeight="true" outlineLevel="0" collapsed="false">
      <c r="B14" s="11"/>
      <c r="C14" s="11"/>
      <c r="D14" s="11"/>
      <c r="E14" s="11"/>
      <c r="F14" s="11"/>
      <c r="G14" s="11"/>
      <c r="H14" s="12"/>
      <c r="I14" s="13"/>
      <c r="J14" s="14"/>
      <c r="K14" s="14"/>
      <c r="L14" s="11"/>
      <c r="M14" s="11"/>
    </row>
    <row r="15" customFormat="false" ht="21.75" hidden="false" customHeight="true" outlineLevel="0" collapsed="false">
      <c r="B15" s="7"/>
      <c r="C15" s="7"/>
      <c r="D15" s="7"/>
      <c r="E15" s="7"/>
      <c r="F15" s="7"/>
      <c r="G15" s="7"/>
      <c r="H15" s="8"/>
      <c r="I15" s="9"/>
      <c r="J15" s="10"/>
      <c r="K15" s="10"/>
      <c r="L15" s="7"/>
      <c r="M15" s="7"/>
    </row>
    <row r="16" customFormat="false" ht="21.75" hidden="false" customHeight="true" outlineLevel="0" collapsed="false">
      <c r="B16" s="11"/>
      <c r="C16" s="11"/>
      <c r="D16" s="11"/>
      <c r="E16" s="11"/>
      <c r="F16" s="11"/>
      <c r="G16" s="11"/>
      <c r="H16" s="12"/>
      <c r="I16" s="13"/>
      <c r="J16" s="14"/>
      <c r="K16" s="14"/>
      <c r="L16" s="11"/>
      <c r="M16" s="11"/>
    </row>
    <row r="17" customFormat="false" ht="21.75" hidden="false" customHeight="true" outlineLevel="0" collapsed="false">
      <c r="B17" s="7"/>
      <c r="C17" s="7"/>
      <c r="D17" s="7"/>
      <c r="E17" s="7"/>
      <c r="F17" s="7"/>
      <c r="G17" s="7"/>
      <c r="H17" s="8"/>
      <c r="I17" s="9"/>
      <c r="J17" s="10"/>
      <c r="K17" s="10"/>
      <c r="L17" s="7"/>
      <c r="M17" s="7"/>
    </row>
    <row r="18" customFormat="false" ht="21.75" hidden="false" customHeight="true" outlineLevel="0" collapsed="false">
      <c r="B18" s="11"/>
      <c r="C18" s="11"/>
      <c r="D18" s="11"/>
      <c r="E18" s="11"/>
      <c r="F18" s="11"/>
      <c r="G18" s="11"/>
      <c r="H18" s="12"/>
      <c r="I18" s="13"/>
      <c r="J18" s="14"/>
      <c r="K18" s="14"/>
      <c r="L18" s="11"/>
      <c r="M18" s="11"/>
    </row>
    <row r="19" customFormat="false" ht="21.75" hidden="false" customHeight="true" outlineLevel="0" collapsed="false">
      <c r="B19" s="7"/>
      <c r="C19" s="7"/>
      <c r="D19" s="7"/>
      <c r="E19" s="7"/>
      <c r="F19" s="7"/>
      <c r="G19" s="7"/>
      <c r="H19" s="8"/>
      <c r="I19" s="9"/>
      <c r="J19" s="10"/>
      <c r="K19" s="10"/>
      <c r="L19" s="7"/>
      <c r="M19" s="7"/>
    </row>
    <row r="20" customFormat="false" ht="21.75" hidden="false" customHeight="true" outlineLevel="0" collapsed="false">
      <c r="B20" s="11"/>
      <c r="C20" s="11"/>
      <c r="D20" s="11"/>
      <c r="E20" s="11"/>
      <c r="F20" s="11"/>
      <c r="G20" s="11"/>
      <c r="H20" s="12"/>
      <c r="I20" s="13"/>
      <c r="J20" s="14"/>
      <c r="K20" s="14"/>
      <c r="L20" s="11"/>
      <c r="M20" s="11"/>
    </row>
    <row r="21" customFormat="false" ht="21.75" hidden="false" customHeight="true" outlineLevel="0" collapsed="false">
      <c r="B21" s="7"/>
      <c r="C21" s="7"/>
      <c r="D21" s="7"/>
      <c r="E21" s="7"/>
      <c r="F21" s="7"/>
      <c r="G21" s="7"/>
      <c r="H21" s="8"/>
      <c r="I21" s="9"/>
      <c r="J21" s="10"/>
      <c r="K21" s="10"/>
      <c r="L21" s="7"/>
      <c r="M21" s="7"/>
    </row>
    <row r="22" customFormat="false" ht="21.75" hidden="false" customHeight="true" outlineLevel="0" collapsed="false">
      <c r="B22" s="11"/>
      <c r="C22" s="11"/>
      <c r="D22" s="11"/>
      <c r="E22" s="11"/>
      <c r="F22" s="11"/>
      <c r="G22" s="11"/>
      <c r="H22" s="12"/>
      <c r="I22" s="13"/>
      <c r="J22" s="14"/>
      <c r="K22" s="14"/>
      <c r="L22" s="11"/>
      <c r="M22" s="11"/>
    </row>
    <row r="23" customFormat="false" ht="21.75" hidden="false" customHeight="true" outlineLevel="0" collapsed="false">
      <c r="B23" s="7"/>
      <c r="C23" s="7"/>
      <c r="D23" s="7"/>
      <c r="E23" s="7"/>
      <c r="F23" s="7"/>
      <c r="G23" s="7"/>
      <c r="H23" s="8"/>
      <c r="I23" s="9"/>
      <c r="J23" s="10"/>
      <c r="K23" s="10"/>
      <c r="L23" s="7"/>
      <c r="M23" s="7"/>
    </row>
    <row r="24" customFormat="false" ht="21.75" hidden="false" customHeight="true" outlineLevel="0" collapsed="false">
      <c r="B24" s="11"/>
      <c r="C24" s="11"/>
      <c r="D24" s="11"/>
      <c r="E24" s="11"/>
      <c r="F24" s="11"/>
      <c r="G24" s="11"/>
      <c r="H24" s="12"/>
      <c r="I24" s="13"/>
      <c r="J24" s="14"/>
      <c r="K24" s="14"/>
      <c r="L24" s="11"/>
      <c r="M24" s="11"/>
    </row>
  </sheetData>
  <autoFilter ref="B4:M24"/>
  <mergeCells count="1">
    <mergeCell ref="B2:M2"/>
  </mergeCells>
  <dataValidations count="3">
    <dataValidation allowBlank="true" error="请从下拉列表中选择" errorStyle="stop" errorTitle="无效输入" operator="between" showDropDown="false" showErrorMessage="false" showInputMessage="false" sqref="F5:F24" type="list">
      <formula1>"API-OpenAI兼容,API-官方SDK,网页端手动,本地部署"</formula1>
      <formula2>0</formula2>
    </dataValidation>
    <dataValidation allowBlank="true" error="请从下拉列表中选择" errorStyle="stop" errorTitle="无效输入" operator="between" showDropDown="false" showErrorMessage="false" showInputMessage="false" sqref="G5:G24" type="list">
      <formula1>"开启,关闭,跟随模型默认"</formula1>
      <formula2>0</formula2>
    </dataValidation>
    <dataValidation allowBlank="true" error="请从下拉列表中选择" errorStyle="stop" errorTitle="无效输入" operator="between" showDropDown="false" showErrorMessage="false" showInputMessage="false" sqref="L5:L24" type="list">
      <formula1>"待测,测试中,已完成"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7.28"/>
    <col collapsed="false" customWidth="true" hidden="false" outlineLevel="0" max="3" min="3" style="0" width="10.92"/>
    <col collapsed="false" customWidth="true" hidden="false" outlineLevel="0" max="4" min="4" style="0" width="14.56"/>
    <col collapsed="false" customWidth="true" hidden="false" outlineLevel="0" max="5" min="5" style="0" width="12.74"/>
    <col collapsed="false" customWidth="true" hidden="false" outlineLevel="0" max="6" min="6" style="0" width="20.01"/>
    <col collapsed="false" customWidth="true" hidden="false" outlineLevel="0" max="7" min="7" style="0" width="9.1"/>
    <col collapsed="false" customWidth="true" hidden="false" outlineLevel="0" max="8" min="8" style="0" width="7.28"/>
    <col collapsed="false" customWidth="true" hidden="false" outlineLevel="0" max="9" min="9" style="0" width="41.85"/>
    <col collapsed="false" customWidth="true" hidden="false" outlineLevel="0" max="11" min="10" style="0" width="27.3"/>
    <col collapsed="false" customWidth="true" hidden="false" outlineLevel="0" max="12" min="12" style="0" width="7.28"/>
    <col collapsed="false" customWidth="true" hidden="false" outlineLevel="0" max="13" min="13" style="0" width="12.74"/>
    <col collapsed="false" customWidth="true" hidden="false" outlineLevel="0" max="14" min="14" style="0" width="7.28"/>
    <col collapsed="false" customWidth="true" hidden="false" outlineLevel="0" max="15" min="15" style="0" width="23.6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89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7.5" hidden="false" customHeight="true" outlineLevel="0" collapsed="false"/>
    <row r="4" customFormat="false" ht="37.5" hidden="false" customHeight="true" outlineLevel="0" collapsed="false"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98</v>
      </c>
      <c r="K4" s="4" t="s">
        <v>99</v>
      </c>
      <c r="L4" s="4" t="s">
        <v>100</v>
      </c>
      <c r="M4" s="4" t="s">
        <v>101</v>
      </c>
      <c r="N4" s="4" t="s">
        <v>56</v>
      </c>
      <c r="O4" s="4" t="s">
        <v>57</v>
      </c>
    </row>
    <row r="5" customFormat="false" ht="37.5" hidden="false" customHeight="true" outlineLevel="0" collapsed="false">
      <c r="B5" s="7" t="s">
        <v>102</v>
      </c>
      <c r="C5" s="7" t="s">
        <v>103</v>
      </c>
      <c r="D5" s="7" t="s">
        <v>104</v>
      </c>
      <c r="E5" s="7" t="s">
        <v>105</v>
      </c>
      <c r="F5" s="7" t="s">
        <v>106</v>
      </c>
      <c r="G5" s="7" t="s">
        <v>107</v>
      </c>
      <c r="H5" s="15" t="n">
        <v>3</v>
      </c>
      <c r="I5" s="7" t="s">
        <v>108</v>
      </c>
      <c r="J5" s="7" t="s">
        <v>109</v>
      </c>
      <c r="K5" s="7" t="s">
        <v>110</v>
      </c>
      <c r="L5" s="15" t="n">
        <v>10</v>
      </c>
      <c r="M5" s="7" t="s">
        <v>111</v>
      </c>
      <c r="N5" s="7" t="s">
        <v>112</v>
      </c>
      <c r="O5" s="7" t="s">
        <v>113</v>
      </c>
    </row>
    <row r="6" customFormat="false" ht="21.75" hidden="false" customHeight="true" outlineLevel="0" collapsed="false">
      <c r="B6" s="11"/>
      <c r="C6" s="11"/>
      <c r="D6" s="11"/>
      <c r="E6" s="11"/>
      <c r="F6" s="11"/>
      <c r="G6" s="11"/>
      <c r="H6" s="16"/>
      <c r="I6" s="11"/>
      <c r="J6" s="11"/>
      <c r="K6" s="11"/>
      <c r="L6" s="16"/>
      <c r="M6" s="11"/>
      <c r="N6" s="11"/>
      <c r="O6" s="11"/>
    </row>
    <row r="7" customFormat="false" ht="21.75" hidden="false" customHeight="true" outlineLevel="0" collapsed="false">
      <c r="B7" s="7"/>
      <c r="C7" s="7"/>
      <c r="D7" s="7"/>
      <c r="E7" s="7"/>
      <c r="F7" s="7"/>
      <c r="G7" s="7"/>
      <c r="H7" s="15"/>
      <c r="I7" s="7"/>
      <c r="J7" s="7"/>
      <c r="K7" s="7"/>
      <c r="L7" s="15"/>
      <c r="M7" s="7"/>
      <c r="N7" s="7"/>
      <c r="O7" s="7"/>
    </row>
    <row r="8" customFormat="false" ht="21.75" hidden="false" customHeight="true" outlineLevel="0" collapsed="false">
      <c r="B8" s="11"/>
      <c r="C8" s="11"/>
      <c r="D8" s="11"/>
      <c r="E8" s="11"/>
      <c r="F8" s="11"/>
      <c r="G8" s="11"/>
      <c r="H8" s="16"/>
      <c r="I8" s="11"/>
      <c r="J8" s="11"/>
      <c r="K8" s="11"/>
      <c r="L8" s="16"/>
      <c r="M8" s="11"/>
      <c r="N8" s="11"/>
      <c r="O8" s="11"/>
    </row>
    <row r="9" customFormat="false" ht="21.75" hidden="false" customHeight="true" outlineLevel="0" collapsed="false">
      <c r="B9" s="7"/>
      <c r="C9" s="7"/>
      <c r="D9" s="7"/>
      <c r="E9" s="7"/>
      <c r="F9" s="7"/>
      <c r="G9" s="7"/>
      <c r="H9" s="15"/>
      <c r="I9" s="7"/>
      <c r="J9" s="7"/>
      <c r="K9" s="7"/>
      <c r="L9" s="15"/>
      <c r="M9" s="7"/>
      <c r="N9" s="7"/>
      <c r="O9" s="7"/>
    </row>
    <row r="10" customFormat="false" ht="21.75" hidden="false" customHeight="true" outlineLevel="0" collapsed="false">
      <c r="B10" s="11"/>
      <c r="C10" s="11"/>
      <c r="D10" s="11"/>
      <c r="E10" s="11"/>
      <c r="F10" s="11"/>
      <c r="G10" s="11"/>
      <c r="H10" s="16"/>
      <c r="I10" s="11"/>
      <c r="J10" s="11"/>
      <c r="K10" s="11"/>
      <c r="L10" s="16"/>
      <c r="M10" s="11"/>
      <c r="N10" s="11"/>
      <c r="O10" s="11"/>
    </row>
    <row r="11" customFormat="false" ht="21.75" hidden="false" customHeight="true" outlineLevel="0" collapsed="false">
      <c r="B11" s="7"/>
      <c r="C11" s="7"/>
      <c r="D11" s="7"/>
      <c r="E11" s="7"/>
      <c r="F11" s="7"/>
      <c r="G11" s="7"/>
      <c r="H11" s="15"/>
      <c r="I11" s="7"/>
      <c r="J11" s="7"/>
      <c r="K11" s="7"/>
      <c r="L11" s="15"/>
      <c r="M11" s="7"/>
      <c r="N11" s="7"/>
      <c r="O11" s="7"/>
    </row>
    <row r="12" customFormat="false" ht="21.75" hidden="false" customHeight="true" outlineLevel="0" collapsed="false">
      <c r="B12" s="11"/>
      <c r="C12" s="11"/>
      <c r="D12" s="11"/>
      <c r="E12" s="11"/>
      <c r="F12" s="11"/>
      <c r="G12" s="11"/>
      <c r="H12" s="16"/>
      <c r="I12" s="11"/>
      <c r="J12" s="11"/>
      <c r="K12" s="11"/>
      <c r="L12" s="16"/>
      <c r="M12" s="11"/>
      <c r="N12" s="11"/>
      <c r="O12" s="11"/>
    </row>
    <row r="13" customFormat="false" ht="21.75" hidden="false" customHeight="true" outlineLevel="0" collapsed="false">
      <c r="B13" s="7"/>
      <c r="C13" s="7"/>
      <c r="D13" s="7"/>
      <c r="E13" s="7"/>
      <c r="F13" s="7"/>
      <c r="G13" s="7"/>
      <c r="H13" s="15"/>
      <c r="I13" s="7"/>
      <c r="J13" s="7"/>
      <c r="K13" s="7"/>
      <c r="L13" s="15"/>
      <c r="M13" s="7"/>
      <c r="N13" s="7"/>
      <c r="O13" s="7"/>
    </row>
    <row r="14" customFormat="false" ht="21.75" hidden="false" customHeight="true" outlineLevel="0" collapsed="false">
      <c r="B14" s="11"/>
      <c r="C14" s="11"/>
      <c r="D14" s="11"/>
      <c r="E14" s="11"/>
      <c r="F14" s="11"/>
      <c r="G14" s="11"/>
      <c r="H14" s="16"/>
      <c r="I14" s="11"/>
      <c r="J14" s="11"/>
      <c r="K14" s="11"/>
      <c r="L14" s="16"/>
      <c r="M14" s="11"/>
      <c r="N14" s="11"/>
      <c r="O14" s="11"/>
    </row>
    <row r="15" customFormat="false" ht="21.75" hidden="false" customHeight="true" outlineLevel="0" collapsed="false">
      <c r="B15" s="7"/>
      <c r="C15" s="7"/>
      <c r="D15" s="7"/>
      <c r="E15" s="7"/>
      <c r="F15" s="7"/>
      <c r="G15" s="7"/>
      <c r="H15" s="15"/>
      <c r="I15" s="7"/>
      <c r="J15" s="7"/>
      <c r="K15" s="7"/>
      <c r="L15" s="15"/>
      <c r="M15" s="7"/>
      <c r="N15" s="7"/>
      <c r="O15" s="7"/>
    </row>
    <row r="16" customFormat="false" ht="21.75" hidden="false" customHeight="true" outlineLevel="0" collapsed="false">
      <c r="B16" s="11"/>
      <c r="C16" s="11"/>
      <c r="D16" s="11"/>
      <c r="E16" s="11"/>
      <c r="F16" s="11"/>
      <c r="G16" s="11"/>
      <c r="H16" s="16"/>
      <c r="I16" s="11"/>
      <c r="J16" s="11"/>
      <c r="K16" s="11"/>
      <c r="L16" s="16"/>
      <c r="M16" s="11"/>
      <c r="N16" s="11"/>
      <c r="O16" s="11"/>
    </row>
    <row r="17" customFormat="false" ht="21.75" hidden="false" customHeight="true" outlineLevel="0" collapsed="false">
      <c r="B17" s="7"/>
      <c r="C17" s="7"/>
      <c r="D17" s="7"/>
      <c r="E17" s="7"/>
      <c r="F17" s="7"/>
      <c r="G17" s="7"/>
      <c r="H17" s="15"/>
      <c r="I17" s="7"/>
      <c r="J17" s="7"/>
      <c r="K17" s="7"/>
      <c r="L17" s="15"/>
      <c r="M17" s="7"/>
      <c r="N17" s="7"/>
      <c r="O17" s="7"/>
    </row>
    <row r="18" customFormat="false" ht="21.75" hidden="false" customHeight="true" outlineLevel="0" collapsed="false">
      <c r="B18" s="11"/>
      <c r="C18" s="11"/>
      <c r="D18" s="11"/>
      <c r="E18" s="11"/>
      <c r="F18" s="11"/>
      <c r="G18" s="11"/>
      <c r="H18" s="16"/>
      <c r="I18" s="11"/>
      <c r="J18" s="11"/>
      <c r="K18" s="11"/>
      <c r="L18" s="16"/>
      <c r="M18" s="11"/>
      <c r="N18" s="11"/>
      <c r="O18" s="11"/>
    </row>
    <row r="19" customFormat="false" ht="21.75" hidden="false" customHeight="true" outlineLevel="0" collapsed="false">
      <c r="B19" s="7"/>
      <c r="C19" s="7"/>
      <c r="D19" s="7"/>
      <c r="E19" s="7"/>
      <c r="F19" s="7"/>
      <c r="G19" s="7"/>
      <c r="H19" s="15"/>
      <c r="I19" s="7"/>
      <c r="J19" s="7"/>
      <c r="K19" s="7"/>
      <c r="L19" s="15"/>
      <c r="M19" s="7"/>
      <c r="N19" s="7"/>
      <c r="O19" s="7"/>
    </row>
    <row r="20" customFormat="false" ht="21.75" hidden="false" customHeight="true" outlineLevel="0" collapsed="false">
      <c r="B20" s="11"/>
      <c r="C20" s="11"/>
      <c r="D20" s="11"/>
      <c r="E20" s="11"/>
      <c r="F20" s="11"/>
      <c r="G20" s="11"/>
      <c r="H20" s="16"/>
      <c r="I20" s="11"/>
      <c r="J20" s="11"/>
      <c r="K20" s="11"/>
      <c r="L20" s="16"/>
      <c r="M20" s="11"/>
      <c r="N20" s="11"/>
      <c r="O20" s="11"/>
    </row>
    <row r="21" customFormat="false" ht="21.75" hidden="false" customHeight="true" outlineLevel="0" collapsed="false">
      <c r="B21" s="7"/>
      <c r="C21" s="7"/>
      <c r="D21" s="7"/>
      <c r="E21" s="7"/>
      <c r="F21" s="7"/>
      <c r="G21" s="7"/>
      <c r="H21" s="15"/>
      <c r="I21" s="7"/>
      <c r="J21" s="7"/>
      <c r="K21" s="7"/>
      <c r="L21" s="15"/>
      <c r="M21" s="7"/>
      <c r="N21" s="7"/>
      <c r="O21" s="7"/>
    </row>
    <row r="22" customFormat="false" ht="21.75" hidden="false" customHeight="true" outlineLevel="0" collapsed="false">
      <c r="B22" s="11"/>
      <c r="C22" s="11"/>
      <c r="D22" s="11"/>
      <c r="E22" s="11"/>
      <c r="F22" s="11"/>
      <c r="G22" s="11"/>
      <c r="H22" s="16"/>
      <c r="I22" s="11"/>
      <c r="J22" s="11"/>
      <c r="K22" s="11"/>
      <c r="L22" s="16"/>
      <c r="M22" s="11"/>
      <c r="N22" s="11"/>
      <c r="O22" s="11"/>
    </row>
    <row r="23" customFormat="false" ht="21.75" hidden="false" customHeight="true" outlineLevel="0" collapsed="false">
      <c r="B23" s="7"/>
      <c r="C23" s="7"/>
      <c r="D23" s="7"/>
      <c r="E23" s="7"/>
      <c r="F23" s="7"/>
      <c r="G23" s="7"/>
      <c r="H23" s="15"/>
      <c r="I23" s="7"/>
      <c r="J23" s="7"/>
      <c r="K23" s="7"/>
      <c r="L23" s="15"/>
      <c r="M23" s="7"/>
      <c r="N23" s="7"/>
      <c r="O23" s="7"/>
    </row>
    <row r="24" customFormat="false" ht="21.75" hidden="false" customHeight="true" outlineLevel="0" collapsed="false">
      <c r="B24" s="11"/>
      <c r="C24" s="11"/>
      <c r="D24" s="11"/>
      <c r="E24" s="11"/>
      <c r="F24" s="11"/>
      <c r="G24" s="11"/>
      <c r="H24" s="16"/>
      <c r="I24" s="11"/>
      <c r="J24" s="11"/>
      <c r="K24" s="11"/>
      <c r="L24" s="16"/>
      <c r="M24" s="11"/>
      <c r="N24" s="11"/>
      <c r="O24" s="11"/>
    </row>
    <row r="25" customFormat="false" ht="21.75" hidden="false" customHeight="true" outlineLevel="0" collapsed="false">
      <c r="B25" s="7"/>
      <c r="C25" s="7"/>
      <c r="D25" s="7"/>
      <c r="E25" s="7"/>
      <c r="F25" s="7"/>
      <c r="G25" s="7"/>
      <c r="H25" s="15"/>
      <c r="I25" s="7"/>
      <c r="J25" s="7"/>
      <c r="K25" s="7"/>
      <c r="L25" s="15"/>
      <c r="M25" s="7"/>
      <c r="N25" s="7"/>
      <c r="O25" s="7"/>
    </row>
    <row r="26" customFormat="false" ht="21.75" hidden="false" customHeight="true" outlineLevel="0" collapsed="false">
      <c r="B26" s="11"/>
      <c r="C26" s="11"/>
      <c r="D26" s="11"/>
      <c r="E26" s="11"/>
      <c r="F26" s="11"/>
      <c r="G26" s="11"/>
      <c r="H26" s="16"/>
      <c r="I26" s="11"/>
      <c r="J26" s="11"/>
      <c r="K26" s="11"/>
      <c r="L26" s="16"/>
      <c r="M26" s="11"/>
      <c r="N26" s="11"/>
      <c r="O26" s="11"/>
    </row>
    <row r="27" customFormat="false" ht="21.75" hidden="false" customHeight="true" outlineLevel="0" collapsed="false">
      <c r="B27" s="7"/>
      <c r="C27" s="7"/>
      <c r="D27" s="7"/>
      <c r="E27" s="7"/>
      <c r="F27" s="7"/>
      <c r="G27" s="7"/>
      <c r="H27" s="15"/>
      <c r="I27" s="7"/>
      <c r="J27" s="7"/>
      <c r="K27" s="7"/>
      <c r="L27" s="15"/>
      <c r="M27" s="7"/>
      <c r="N27" s="7"/>
      <c r="O27" s="7"/>
    </row>
    <row r="28" customFormat="false" ht="21.75" hidden="false" customHeight="true" outlineLevel="0" collapsed="false">
      <c r="B28" s="11"/>
      <c r="C28" s="11"/>
      <c r="D28" s="11"/>
      <c r="E28" s="11"/>
      <c r="F28" s="11"/>
      <c r="G28" s="11"/>
      <c r="H28" s="16"/>
      <c r="I28" s="11"/>
      <c r="J28" s="11"/>
      <c r="K28" s="11"/>
      <c r="L28" s="16"/>
      <c r="M28" s="11"/>
      <c r="N28" s="11"/>
      <c r="O28" s="11"/>
    </row>
    <row r="29" customFormat="false" ht="21.75" hidden="false" customHeight="true" outlineLevel="0" collapsed="false">
      <c r="B29" s="7"/>
      <c r="C29" s="7"/>
      <c r="D29" s="7"/>
      <c r="E29" s="7"/>
      <c r="F29" s="7"/>
      <c r="G29" s="7"/>
      <c r="H29" s="15"/>
      <c r="I29" s="7"/>
      <c r="J29" s="7"/>
      <c r="K29" s="7"/>
      <c r="L29" s="15"/>
      <c r="M29" s="7"/>
      <c r="N29" s="7"/>
      <c r="O29" s="7"/>
    </row>
    <row r="30" customFormat="false" ht="21.75" hidden="false" customHeight="true" outlineLevel="0" collapsed="false">
      <c r="B30" s="11"/>
      <c r="C30" s="11"/>
      <c r="D30" s="11"/>
      <c r="E30" s="11"/>
      <c r="F30" s="11"/>
      <c r="G30" s="11"/>
      <c r="H30" s="16"/>
      <c r="I30" s="11"/>
      <c r="J30" s="11"/>
      <c r="K30" s="11"/>
      <c r="L30" s="16"/>
      <c r="M30" s="11"/>
      <c r="N30" s="11"/>
      <c r="O30" s="11"/>
    </row>
    <row r="31" customFormat="false" ht="21.75" hidden="false" customHeight="true" outlineLevel="0" collapsed="false">
      <c r="B31" s="7"/>
      <c r="C31" s="7"/>
      <c r="D31" s="7"/>
      <c r="E31" s="7"/>
      <c r="F31" s="7"/>
      <c r="G31" s="7"/>
      <c r="H31" s="15"/>
      <c r="I31" s="7"/>
      <c r="J31" s="7"/>
      <c r="K31" s="7"/>
      <c r="L31" s="15"/>
      <c r="M31" s="7"/>
      <c r="N31" s="7"/>
      <c r="O31" s="7"/>
    </row>
    <row r="32" customFormat="false" ht="21.75" hidden="false" customHeight="true" outlineLevel="0" collapsed="false">
      <c r="B32" s="11"/>
      <c r="C32" s="11"/>
      <c r="D32" s="11"/>
      <c r="E32" s="11"/>
      <c r="F32" s="11"/>
      <c r="G32" s="11"/>
      <c r="H32" s="16"/>
      <c r="I32" s="11"/>
      <c r="J32" s="11"/>
      <c r="K32" s="11"/>
      <c r="L32" s="16"/>
      <c r="M32" s="11"/>
      <c r="N32" s="11"/>
      <c r="O32" s="11"/>
    </row>
    <row r="33" customFormat="false" ht="21.75" hidden="false" customHeight="true" outlineLevel="0" collapsed="false">
      <c r="B33" s="7"/>
      <c r="C33" s="7"/>
      <c r="D33" s="7"/>
      <c r="E33" s="7"/>
      <c r="F33" s="7"/>
      <c r="G33" s="7"/>
      <c r="H33" s="15"/>
      <c r="I33" s="7"/>
      <c r="J33" s="7"/>
      <c r="K33" s="7"/>
      <c r="L33" s="15"/>
      <c r="M33" s="7"/>
      <c r="N33" s="7"/>
      <c r="O33" s="7"/>
    </row>
    <row r="34" customFormat="false" ht="21.75" hidden="false" customHeight="true" outlineLevel="0" collapsed="false">
      <c r="B34" s="11"/>
      <c r="C34" s="11"/>
      <c r="D34" s="11"/>
      <c r="E34" s="11"/>
      <c r="F34" s="11"/>
      <c r="G34" s="11"/>
      <c r="H34" s="16"/>
      <c r="I34" s="11"/>
      <c r="J34" s="11"/>
      <c r="K34" s="11"/>
      <c r="L34" s="16"/>
      <c r="M34" s="11"/>
      <c r="N34" s="11"/>
      <c r="O34" s="11"/>
    </row>
    <row r="35" customFormat="false" ht="21.75" hidden="false" customHeight="true" outlineLevel="0" collapsed="false">
      <c r="B35" s="7"/>
      <c r="C35" s="7"/>
      <c r="D35" s="7"/>
      <c r="E35" s="7"/>
      <c r="F35" s="7"/>
      <c r="G35" s="7"/>
      <c r="H35" s="15"/>
      <c r="I35" s="7"/>
      <c r="J35" s="7"/>
      <c r="K35" s="7"/>
      <c r="L35" s="15"/>
      <c r="M35" s="7"/>
      <c r="N35" s="7"/>
      <c r="O35" s="7"/>
    </row>
    <row r="36" customFormat="false" ht="21.75" hidden="false" customHeight="true" outlineLevel="0" collapsed="false">
      <c r="B36" s="11"/>
      <c r="C36" s="11"/>
      <c r="D36" s="11"/>
      <c r="E36" s="11"/>
      <c r="F36" s="11"/>
      <c r="G36" s="11"/>
      <c r="H36" s="16"/>
      <c r="I36" s="11"/>
      <c r="J36" s="11"/>
      <c r="K36" s="11"/>
      <c r="L36" s="16"/>
      <c r="M36" s="11"/>
      <c r="N36" s="11"/>
      <c r="O36" s="11"/>
    </row>
    <row r="37" customFormat="false" ht="21.75" hidden="false" customHeight="true" outlineLevel="0" collapsed="false">
      <c r="B37" s="7"/>
      <c r="C37" s="7"/>
      <c r="D37" s="7"/>
      <c r="E37" s="7"/>
      <c r="F37" s="7"/>
      <c r="G37" s="7"/>
      <c r="H37" s="15"/>
      <c r="I37" s="7"/>
      <c r="J37" s="7"/>
      <c r="K37" s="7"/>
      <c r="L37" s="15"/>
      <c r="M37" s="7"/>
      <c r="N37" s="7"/>
      <c r="O37" s="7"/>
    </row>
    <row r="38" customFormat="false" ht="21.75" hidden="false" customHeight="true" outlineLevel="0" collapsed="false">
      <c r="B38" s="11"/>
      <c r="C38" s="11"/>
      <c r="D38" s="11"/>
      <c r="E38" s="11"/>
      <c r="F38" s="11"/>
      <c r="G38" s="11"/>
      <c r="H38" s="16"/>
      <c r="I38" s="11"/>
      <c r="J38" s="11"/>
      <c r="K38" s="11"/>
      <c r="L38" s="16"/>
      <c r="M38" s="11"/>
      <c r="N38" s="11"/>
      <c r="O38" s="11"/>
    </row>
    <row r="39" customFormat="false" ht="21.75" hidden="false" customHeight="true" outlineLevel="0" collapsed="false">
      <c r="B39" s="7"/>
      <c r="C39" s="7"/>
      <c r="D39" s="7"/>
      <c r="E39" s="7"/>
      <c r="F39" s="7"/>
      <c r="G39" s="7"/>
      <c r="H39" s="15"/>
      <c r="I39" s="7"/>
      <c r="J39" s="7"/>
      <c r="K39" s="7"/>
      <c r="L39" s="15"/>
      <c r="M39" s="7"/>
      <c r="N39" s="7"/>
      <c r="O39" s="7"/>
    </row>
    <row r="40" customFormat="false" ht="21.75" hidden="false" customHeight="true" outlineLevel="0" collapsed="false">
      <c r="B40" s="11"/>
      <c r="C40" s="11"/>
      <c r="D40" s="11"/>
      <c r="E40" s="11"/>
      <c r="F40" s="11"/>
      <c r="G40" s="11"/>
      <c r="H40" s="16"/>
      <c r="I40" s="11"/>
      <c r="J40" s="11"/>
      <c r="K40" s="11"/>
      <c r="L40" s="16"/>
      <c r="M40" s="11"/>
      <c r="N40" s="11"/>
      <c r="O40" s="11"/>
    </row>
    <row r="41" customFormat="false" ht="21.75" hidden="false" customHeight="true" outlineLevel="0" collapsed="false">
      <c r="B41" s="7"/>
      <c r="C41" s="7"/>
      <c r="D41" s="7"/>
      <c r="E41" s="7"/>
      <c r="F41" s="7"/>
      <c r="G41" s="7"/>
      <c r="H41" s="15"/>
      <c r="I41" s="7"/>
      <c r="J41" s="7"/>
      <c r="K41" s="7"/>
      <c r="L41" s="15"/>
      <c r="M41" s="7"/>
      <c r="N41" s="7"/>
      <c r="O41" s="7"/>
    </row>
    <row r="42" customFormat="false" ht="21.75" hidden="false" customHeight="true" outlineLevel="0" collapsed="false">
      <c r="B42" s="11"/>
      <c r="C42" s="11"/>
      <c r="D42" s="11"/>
      <c r="E42" s="11"/>
      <c r="F42" s="11"/>
      <c r="G42" s="11"/>
      <c r="H42" s="16"/>
      <c r="I42" s="11"/>
      <c r="J42" s="11"/>
      <c r="K42" s="11"/>
      <c r="L42" s="16"/>
      <c r="M42" s="11"/>
      <c r="N42" s="11"/>
      <c r="O42" s="11"/>
    </row>
    <row r="43" customFormat="false" ht="21.75" hidden="false" customHeight="true" outlineLevel="0" collapsed="false">
      <c r="B43" s="7"/>
      <c r="C43" s="7"/>
      <c r="D43" s="7"/>
      <c r="E43" s="7"/>
      <c r="F43" s="7"/>
      <c r="G43" s="7"/>
      <c r="H43" s="15"/>
      <c r="I43" s="7"/>
      <c r="J43" s="7"/>
      <c r="K43" s="7"/>
      <c r="L43" s="15"/>
      <c r="M43" s="7"/>
      <c r="N43" s="7"/>
      <c r="O43" s="7"/>
    </row>
    <row r="44" customFormat="false" ht="21.75" hidden="false" customHeight="true" outlineLevel="0" collapsed="false">
      <c r="B44" s="11"/>
      <c r="C44" s="11"/>
      <c r="D44" s="11"/>
      <c r="E44" s="11"/>
      <c r="F44" s="11"/>
      <c r="G44" s="11"/>
      <c r="H44" s="16"/>
      <c r="I44" s="11"/>
      <c r="J44" s="11"/>
      <c r="K44" s="11"/>
      <c r="L44" s="16"/>
      <c r="M44" s="11"/>
      <c r="N44" s="11"/>
      <c r="O44" s="11"/>
    </row>
    <row r="45" customFormat="false" ht="21.75" hidden="false" customHeight="true" outlineLevel="0" collapsed="false">
      <c r="B45" s="7"/>
      <c r="C45" s="7"/>
      <c r="D45" s="7"/>
      <c r="E45" s="7"/>
      <c r="F45" s="7"/>
      <c r="G45" s="7"/>
      <c r="H45" s="15"/>
      <c r="I45" s="7"/>
      <c r="J45" s="7"/>
      <c r="K45" s="7"/>
      <c r="L45" s="15"/>
      <c r="M45" s="7"/>
      <c r="N45" s="7"/>
      <c r="O45" s="7"/>
    </row>
    <row r="46" customFormat="false" ht="21.75" hidden="false" customHeight="true" outlineLevel="0" collapsed="false">
      <c r="B46" s="11"/>
      <c r="C46" s="11"/>
      <c r="D46" s="11"/>
      <c r="E46" s="11"/>
      <c r="F46" s="11"/>
      <c r="G46" s="11"/>
      <c r="H46" s="16"/>
      <c r="I46" s="11"/>
      <c r="J46" s="11"/>
      <c r="K46" s="11"/>
      <c r="L46" s="16"/>
      <c r="M46" s="11"/>
      <c r="N46" s="11"/>
      <c r="O46" s="11"/>
    </row>
    <row r="47" customFormat="false" ht="21.75" hidden="false" customHeight="true" outlineLevel="0" collapsed="false">
      <c r="B47" s="7"/>
      <c r="C47" s="7"/>
      <c r="D47" s="7"/>
      <c r="E47" s="7"/>
      <c r="F47" s="7"/>
      <c r="G47" s="7"/>
      <c r="H47" s="15"/>
      <c r="I47" s="7"/>
      <c r="J47" s="7"/>
      <c r="K47" s="7"/>
      <c r="L47" s="15"/>
      <c r="M47" s="7"/>
      <c r="N47" s="7"/>
      <c r="O47" s="7"/>
    </row>
    <row r="48" customFormat="false" ht="21.75" hidden="false" customHeight="true" outlineLevel="0" collapsed="false">
      <c r="B48" s="11"/>
      <c r="C48" s="11"/>
      <c r="D48" s="11"/>
      <c r="E48" s="11"/>
      <c r="F48" s="11"/>
      <c r="G48" s="11"/>
      <c r="H48" s="16"/>
      <c r="I48" s="11"/>
      <c r="J48" s="11"/>
      <c r="K48" s="11"/>
      <c r="L48" s="16"/>
      <c r="M48" s="11"/>
      <c r="N48" s="11"/>
      <c r="O48" s="11"/>
    </row>
    <row r="49" customFormat="false" ht="21.75" hidden="false" customHeight="true" outlineLevel="0" collapsed="false">
      <c r="B49" s="7"/>
      <c r="C49" s="7"/>
      <c r="D49" s="7"/>
      <c r="E49" s="7"/>
      <c r="F49" s="7"/>
      <c r="G49" s="7"/>
      <c r="H49" s="15"/>
      <c r="I49" s="7"/>
      <c r="J49" s="7"/>
      <c r="K49" s="7"/>
      <c r="L49" s="15"/>
      <c r="M49" s="7"/>
      <c r="N49" s="7"/>
      <c r="O49" s="7"/>
    </row>
    <row r="50" customFormat="false" ht="21.75" hidden="false" customHeight="true" outlineLevel="0" collapsed="false">
      <c r="B50" s="11"/>
      <c r="C50" s="11"/>
      <c r="D50" s="11"/>
      <c r="E50" s="11"/>
      <c r="F50" s="11"/>
      <c r="G50" s="11"/>
      <c r="H50" s="16"/>
      <c r="I50" s="11"/>
      <c r="J50" s="11"/>
      <c r="K50" s="11"/>
      <c r="L50" s="16"/>
      <c r="M50" s="11"/>
      <c r="N50" s="11"/>
      <c r="O50" s="11"/>
    </row>
    <row r="51" customFormat="false" ht="21.75" hidden="false" customHeight="true" outlineLevel="0" collapsed="false">
      <c r="B51" s="7"/>
      <c r="C51" s="7"/>
      <c r="D51" s="7"/>
      <c r="E51" s="7"/>
      <c r="F51" s="7"/>
      <c r="G51" s="7"/>
      <c r="H51" s="15"/>
      <c r="I51" s="7"/>
      <c r="J51" s="7"/>
      <c r="K51" s="7"/>
      <c r="L51" s="15"/>
      <c r="M51" s="7"/>
      <c r="N51" s="7"/>
      <c r="O51" s="7"/>
    </row>
    <row r="52" customFormat="false" ht="21.75" hidden="false" customHeight="true" outlineLevel="0" collapsed="false">
      <c r="B52" s="11"/>
      <c r="C52" s="11"/>
      <c r="D52" s="11"/>
      <c r="E52" s="11"/>
      <c r="F52" s="11"/>
      <c r="G52" s="11"/>
      <c r="H52" s="16"/>
      <c r="I52" s="11"/>
      <c r="J52" s="11"/>
      <c r="K52" s="11"/>
      <c r="L52" s="16"/>
      <c r="M52" s="11"/>
      <c r="N52" s="11"/>
      <c r="O52" s="11"/>
    </row>
    <row r="53" customFormat="false" ht="21.75" hidden="false" customHeight="true" outlineLevel="0" collapsed="false">
      <c r="B53" s="7"/>
      <c r="C53" s="7"/>
      <c r="D53" s="7"/>
      <c r="E53" s="7"/>
      <c r="F53" s="7"/>
      <c r="G53" s="7"/>
      <c r="H53" s="15"/>
      <c r="I53" s="7"/>
      <c r="J53" s="7"/>
      <c r="K53" s="7"/>
      <c r="L53" s="15"/>
      <c r="M53" s="7"/>
      <c r="N53" s="7"/>
      <c r="O53" s="7"/>
    </row>
    <row r="54" customFormat="false" ht="21.75" hidden="false" customHeight="true" outlineLevel="0" collapsed="false">
      <c r="B54" s="11"/>
      <c r="C54" s="11"/>
      <c r="D54" s="11"/>
      <c r="E54" s="11"/>
      <c r="F54" s="11"/>
      <c r="G54" s="11"/>
      <c r="H54" s="16"/>
      <c r="I54" s="11"/>
      <c r="J54" s="11"/>
      <c r="K54" s="11"/>
      <c r="L54" s="16"/>
      <c r="M54" s="11"/>
      <c r="N54" s="11"/>
      <c r="O54" s="11"/>
    </row>
    <row r="55" customFormat="false" ht="21.75" hidden="false" customHeight="true" outlineLevel="0" collapsed="false">
      <c r="B55" s="7"/>
      <c r="C55" s="7"/>
      <c r="D55" s="7"/>
      <c r="E55" s="7"/>
      <c r="F55" s="7"/>
      <c r="G55" s="7"/>
      <c r="H55" s="15"/>
      <c r="I55" s="7"/>
      <c r="J55" s="7"/>
      <c r="K55" s="7"/>
      <c r="L55" s="15"/>
      <c r="M55" s="7"/>
      <c r="N55" s="7"/>
      <c r="O55" s="7"/>
    </row>
    <row r="56" customFormat="false" ht="21.75" hidden="false" customHeight="true" outlineLevel="0" collapsed="false">
      <c r="B56" s="11"/>
      <c r="C56" s="11"/>
      <c r="D56" s="11"/>
      <c r="E56" s="11"/>
      <c r="F56" s="11"/>
      <c r="G56" s="11"/>
      <c r="H56" s="16"/>
      <c r="I56" s="11"/>
      <c r="J56" s="11"/>
      <c r="K56" s="11"/>
      <c r="L56" s="16"/>
      <c r="M56" s="11"/>
      <c r="N56" s="11"/>
      <c r="O56" s="11"/>
    </row>
    <row r="57" customFormat="false" ht="21.75" hidden="false" customHeight="true" outlineLevel="0" collapsed="false">
      <c r="B57" s="7"/>
      <c r="C57" s="7"/>
      <c r="D57" s="7"/>
      <c r="E57" s="7"/>
      <c r="F57" s="7"/>
      <c r="G57" s="7"/>
      <c r="H57" s="15"/>
      <c r="I57" s="7"/>
      <c r="J57" s="7"/>
      <c r="K57" s="7"/>
      <c r="L57" s="15"/>
      <c r="M57" s="7"/>
      <c r="N57" s="7"/>
      <c r="O57" s="7"/>
    </row>
    <row r="58" customFormat="false" ht="21.75" hidden="false" customHeight="true" outlineLevel="0" collapsed="false">
      <c r="B58" s="11"/>
      <c r="C58" s="11"/>
      <c r="D58" s="11"/>
      <c r="E58" s="11"/>
      <c r="F58" s="11"/>
      <c r="G58" s="11"/>
      <c r="H58" s="16"/>
      <c r="I58" s="11"/>
      <c r="J58" s="11"/>
      <c r="K58" s="11"/>
      <c r="L58" s="16"/>
      <c r="M58" s="11"/>
      <c r="N58" s="11"/>
      <c r="O58" s="11"/>
    </row>
    <row r="59" customFormat="false" ht="21.75" hidden="false" customHeight="true" outlineLevel="0" collapsed="false">
      <c r="B59" s="7"/>
      <c r="C59" s="7"/>
      <c r="D59" s="7"/>
      <c r="E59" s="7"/>
      <c r="F59" s="7"/>
      <c r="G59" s="7"/>
      <c r="H59" s="15"/>
      <c r="I59" s="7"/>
      <c r="J59" s="7"/>
      <c r="K59" s="7"/>
      <c r="L59" s="15"/>
      <c r="M59" s="7"/>
      <c r="N59" s="7"/>
      <c r="O59" s="7"/>
    </row>
    <row r="60" customFormat="false" ht="21.75" hidden="false" customHeight="true" outlineLevel="0" collapsed="false">
      <c r="B60" s="11"/>
      <c r="C60" s="11"/>
      <c r="D60" s="11"/>
      <c r="E60" s="11"/>
      <c r="F60" s="11"/>
      <c r="G60" s="11"/>
      <c r="H60" s="16"/>
      <c r="I60" s="11"/>
      <c r="J60" s="11"/>
      <c r="K60" s="11"/>
      <c r="L60" s="16"/>
      <c r="M60" s="11"/>
      <c r="N60" s="11"/>
      <c r="O60" s="11"/>
    </row>
    <row r="61" customFormat="false" ht="21.75" hidden="false" customHeight="true" outlineLevel="0" collapsed="false">
      <c r="B61" s="7"/>
      <c r="C61" s="7"/>
      <c r="D61" s="7"/>
      <c r="E61" s="7"/>
      <c r="F61" s="7"/>
      <c r="G61" s="7"/>
      <c r="H61" s="15"/>
      <c r="I61" s="7"/>
      <c r="J61" s="7"/>
      <c r="K61" s="7"/>
      <c r="L61" s="15"/>
      <c r="M61" s="7"/>
      <c r="N61" s="7"/>
      <c r="O61" s="7"/>
    </row>
    <row r="62" customFormat="false" ht="21.75" hidden="false" customHeight="true" outlineLevel="0" collapsed="false">
      <c r="B62" s="11"/>
      <c r="C62" s="11"/>
      <c r="D62" s="11"/>
      <c r="E62" s="11"/>
      <c r="F62" s="11"/>
      <c r="G62" s="11"/>
      <c r="H62" s="16"/>
      <c r="I62" s="11"/>
      <c r="J62" s="11"/>
      <c r="K62" s="11"/>
      <c r="L62" s="16"/>
      <c r="M62" s="11"/>
      <c r="N62" s="11"/>
      <c r="O62" s="11"/>
    </row>
    <row r="63" customFormat="false" ht="21.75" hidden="false" customHeight="true" outlineLevel="0" collapsed="false">
      <c r="B63" s="7"/>
      <c r="C63" s="7"/>
      <c r="D63" s="7"/>
      <c r="E63" s="7"/>
      <c r="F63" s="7"/>
      <c r="G63" s="7"/>
      <c r="H63" s="15"/>
      <c r="I63" s="7"/>
      <c r="J63" s="7"/>
      <c r="K63" s="7"/>
      <c r="L63" s="15"/>
      <c r="M63" s="7"/>
      <c r="N63" s="7"/>
      <c r="O63" s="7"/>
    </row>
    <row r="64" customFormat="false" ht="21.75" hidden="false" customHeight="true" outlineLevel="0" collapsed="false">
      <c r="B64" s="11"/>
      <c r="C64" s="11"/>
      <c r="D64" s="11"/>
      <c r="E64" s="11"/>
      <c r="F64" s="11"/>
      <c r="G64" s="11"/>
      <c r="H64" s="16"/>
      <c r="I64" s="11"/>
      <c r="J64" s="11"/>
      <c r="K64" s="11"/>
      <c r="L64" s="16"/>
      <c r="M64" s="11"/>
      <c r="N64" s="11"/>
      <c r="O64" s="11"/>
    </row>
  </sheetData>
  <autoFilter ref="B4:O64"/>
  <mergeCells count="1">
    <mergeCell ref="B2:O2"/>
  </mergeCells>
  <dataValidations count="6">
    <dataValidation allowBlank="true" error="请从下拉列表中选择" errorStyle="stop" errorTitle="无效输入" operator="between" showDropDown="false" showErrorMessage="false" showInputMessage="false" sqref="C5:C64" type="list">
      <formula1>"语言理解,信息提取,创造力,指令遵循,复杂推理,约束处理,结构化输出,长文本组织,上下文利用,信息检索,评估,错误识别"</formula1>
      <formula2>0</formula2>
    </dataValidation>
    <dataValidation allowBlank="true" error="请从下拉列表中选择" errorStyle="stop" errorTitle="无效输入" operator="between" showDropDown="false" showErrorMessage="false" showInputMessage="false" sqref="E5:E64" type="list">
      <formula1>"高考真题,考研真题,公务员考试,权威Benchmark,权威题改编,新编题"</formula1>
      <formula2>0</formula2>
    </dataValidation>
    <dataValidation allowBlank="true" error="请从下拉列表中选择" errorStyle="stop" errorTitle="无效输入" operator="between" showDropDown="false" showErrorMessage="false" showInputMessage="false" sqref="G5:G64" type="list">
      <formula1>"单项选择,多项选择,简答,写作,改错,生成,转换,代码,多轮对话"</formula1>
      <formula2>0</formula2>
    </dataValidation>
    <dataValidation allowBlank="true" error="难度为1~5的整数" errorStyle="stop" errorTitle="无效输入" operator="between" showDropDown="false" showErrorMessage="false" showInputMessage="false" sqref="H5:H64" type="whole">
      <formula1>1</formula1>
      <formula2>5</formula2>
    </dataValidation>
    <dataValidation allowBlank="true" error="请从下拉列表中选择" errorStyle="stop" errorTitle="无效输入" operator="between" showDropDown="false" showErrorMessage="false" showInputMessage="false" sqref="M5:M64" type="list">
      <formula1>"高·公开原题,中·改编题,低·新编题"</formula1>
      <formula2>0</formula2>
    </dataValidation>
    <dataValidation allowBlank="true" error="请从下拉列表中选择" errorStyle="stop" errorTitle="无效输入" operator="between" showDropDown="false" showErrorMessage="false" showInputMessage="false" sqref="N5:N64" type="list">
      <formula1>"候选,启用,弃用"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3" min="2" style="0" width="8.19"/>
    <col collapsed="false" customWidth="true" hidden="false" outlineLevel="0" max="4" min="4" style="0" width="14.56"/>
    <col collapsed="false" customWidth="true" hidden="false" outlineLevel="0" max="5" min="5" style="0" width="8.19"/>
    <col collapsed="false" customWidth="true" hidden="false" outlineLevel="0" max="6" min="6" style="0" width="10.92"/>
    <col collapsed="false" customWidth="true" hidden="false" outlineLevel="0" max="7" min="7" style="0" width="8.19"/>
    <col collapsed="false" customWidth="true" hidden="false" outlineLevel="0" max="8" min="8" style="0" width="40.03"/>
    <col collapsed="false" customWidth="true" hidden="false" outlineLevel="0" max="9" min="9" style="0" width="27.3"/>
    <col collapsed="false" customWidth="true" hidden="false" outlineLevel="0" max="10" min="10" style="0" width="7.28"/>
    <col collapsed="false" customWidth="true" hidden="false" outlineLevel="0" max="11" min="11" style="0" width="6.37"/>
    <col collapsed="false" customWidth="true" hidden="false" outlineLevel="0" max="12" min="12" style="0" width="9.1"/>
    <col collapsed="false" customWidth="true" hidden="false" outlineLevel="0" max="13" min="13" style="0" width="12.74"/>
    <col collapsed="false" customWidth="true" hidden="false" outlineLevel="0" max="14" min="14" style="0" width="23.66"/>
    <col collapsed="false" customWidth="true" hidden="false" outlineLevel="0" max="15" min="15" style="0" width="10.92"/>
    <col collapsed="false" customWidth="true" hidden="false" outlineLevel="0" max="16" min="16" style="0" width="16.3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115</v>
      </c>
      <c r="C4" s="4" t="s">
        <v>46</v>
      </c>
      <c r="D4" s="4" t="s">
        <v>47</v>
      </c>
      <c r="E4" s="4" t="s">
        <v>90</v>
      </c>
      <c r="F4" s="4" t="s">
        <v>91</v>
      </c>
      <c r="G4" s="4" t="s">
        <v>116</v>
      </c>
      <c r="H4" s="4" t="s">
        <v>117</v>
      </c>
      <c r="I4" s="4" t="s">
        <v>118</v>
      </c>
      <c r="J4" s="4" t="s">
        <v>119</v>
      </c>
      <c r="K4" s="4" t="s">
        <v>100</v>
      </c>
      <c r="L4" s="4" t="s">
        <v>120</v>
      </c>
      <c r="M4" s="4" t="s">
        <v>121</v>
      </c>
      <c r="N4" s="4" t="s">
        <v>122</v>
      </c>
      <c r="O4" s="4" t="s">
        <v>55</v>
      </c>
      <c r="P4" s="4" t="s">
        <v>57</v>
      </c>
    </row>
    <row r="5" customFormat="false" ht="39.75" hidden="false" customHeight="true" outlineLevel="0" collapsed="false">
      <c r="B5" s="7" t="s">
        <v>123</v>
      </c>
      <c r="C5" s="7" t="s">
        <v>58</v>
      </c>
      <c r="D5" s="7" t="str">
        <f aca="false">IF($C5="","",IFERROR(VLOOKUP($C5,模型信息!$B$5:$C$24,2,0),"未登记"))</f>
        <v>GLM-5</v>
      </c>
      <c r="E5" s="7" t="s">
        <v>102</v>
      </c>
      <c r="F5" s="7" t="str">
        <f aca="false">IF($E5="","",IFERROR(VLOOKUP($E5,题目信息!$B$5:$C$64,2,0),"未登记"))</f>
        <v>语言理解</v>
      </c>
      <c r="G5" s="15" t="n">
        <v>1</v>
      </c>
      <c r="H5" s="7" t="s">
        <v>124</v>
      </c>
      <c r="I5" s="7" t="str">
        <f aca="false">IF($E5="","",IFERROR(VLOOKUP($E5,题目信息!$B$5:$J$64,9,0),""))</f>
        <v>【示例】C</v>
      </c>
      <c r="J5" s="8" t="n">
        <v>8</v>
      </c>
      <c r="K5" s="15" t="n">
        <f aca="false">IF($E5="","",IFERROR(VLOOKUP($E5,题目信息!$B$5:$L$64,11,0),10))</f>
        <v>10</v>
      </c>
      <c r="L5" s="17" t="n">
        <f aca="false">IF(OR($J5="",$K5=""),"",$J5/$K5)</f>
        <v>0.8</v>
      </c>
      <c r="M5" s="7" t="s">
        <v>125</v>
      </c>
      <c r="N5" s="7" t="s">
        <v>126</v>
      </c>
      <c r="O5" s="10" t="s">
        <v>127</v>
      </c>
      <c r="P5" s="7" t="s">
        <v>128</v>
      </c>
    </row>
    <row r="6" customFormat="false" ht="39.75" hidden="false" customHeight="true" outlineLevel="0" collapsed="false">
      <c r="B6" s="11" t="s">
        <v>129</v>
      </c>
      <c r="C6" s="11" t="s">
        <v>66</v>
      </c>
      <c r="D6" s="11" t="str">
        <f aca="false">IF($C6="","",IFERROR(VLOOKUP($C6,模型信息!$B$5:$C$24,2,0),"未登记"))</f>
        <v>GPT-5</v>
      </c>
      <c r="E6" s="11" t="s">
        <v>102</v>
      </c>
      <c r="F6" s="11" t="str">
        <f aca="false">IF($E6="","",IFERROR(VLOOKUP($E6,题目信息!$B$5:$C$64,2,0),"未登记"))</f>
        <v>语言理解</v>
      </c>
      <c r="G6" s="16" t="n">
        <v>1</v>
      </c>
      <c r="H6" s="11" t="s">
        <v>124</v>
      </c>
      <c r="I6" s="11" t="str">
        <f aca="false">IF($E6="","",IFERROR(VLOOKUP($E6,题目信息!$B$5:$J$64,9,0),""))</f>
        <v>【示例】C</v>
      </c>
      <c r="J6" s="12" t="n">
        <v>6</v>
      </c>
      <c r="K6" s="16" t="n">
        <f aca="false">IF($E6="","",IFERROR(VLOOKUP($E6,题目信息!$B$5:$L$64,11,0),10))</f>
        <v>10</v>
      </c>
      <c r="L6" s="18" t="n">
        <f aca="false">IF(OR($J6="",$K6=""),"",$J6/$K6)</f>
        <v>0.6</v>
      </c>
      <c r="M6" s="11" t="s">
        <v>130</v>
      </c>
      <c r="N6" s="11" t="s">
        <v>126</v>
      </c>
      <c r="O6" s="14" t="s">
        <v>127</v>
      </c>
      <c r="P6" s="11" t="s">
        <v>128</v>
      </c>
    </row>
    <row r="7" customFormat="false" ht="21.75" hidden="false" customHeight="true" outlineLevel="0" collapsed="false">
      <c r="B7" s="7"/>
      <c r="C7" s="7"/>
      <c r="D7" s="7" t="str">
        <f aca="false">IF($C7="","",IFERROR(VLOOKUP($C7,模型信息!$B$5:$C$24,2,0),"未登记"))</f>
        <v/>
      </c>
      <c r="E7" s="7"/>
      <c r="F7" s="7" t="str">
        <f aca="false">IF($E7="","",IFERROR(VLOOKUP($E7,题目信息!$B$5:$C$64,2,0),"未登记"))</f>
        <v/>
      </c>
      <c r="G7" s="15"/>
      <c r="H7" s="7"/>
      <c r="I7" s="7" t="str">
        <f aca="false">IF($E7="","",IFERROR(VLOOKUP($E7,题目信息!$B$5:$J$64,9,0),""))</f>
        <v/>
      </c>
      <c r="J7" s="8"/>
      <c r="K7" s="15" t="str">
        <f aca="false">IF($E7="","",IFERROR(VLOOKUP($E7,题目信息!$B$5:$L$64,11,0),10))</f>
        <v/>
      </c>
      <c r="L7" s="17" t="str">
        <f aca="false">IF(OR($J7="",$K7=""),"",$J7/$K7)</f>
        <v/>
      </c>
      <c r="M7" s="7"/>
      <c r="N7" s="7"/>
      <c r="O7" s="10"/>
      <c r="P7" s="7"/>
    </row>
    <row r="8" customFormat="false" ht="21.75" hidden="false" customHeight="true" outlineLevel="0" collapsed="false">
      <c r="B8" s="11"/>
      <c r="C8" s="11"/>
      <c r="D8" s="11" t="str">
        <f aca="false">IF($C8="","",IFERROR(VLOOKUP($C8,模型信息!$B$5:$C$24,2,0),"未登记"))</f>
        <v/>
      </c>
      <c r="E8" s="11"/>
      <c r="F8" s="11" t="str">
        <f aca="false">IF($E8="","",IFERROR(VLOOKUP($E8,题目信息!$B$5:$C$64,2,0),"未登记"))</f>
        <v/>
      </c>
      <c r="G8" s="16"/>
      <c r="H8" s="11"/>
      <c r="I8" s="11" t="str">
        <f aca="false">IF($E8="","",IFERROR(VLOOKUP($E8,题目信息!$B$5:$J$64,9,0),""))</f>
        <v/>
      </c>
      <c r="J8" s="12"/>
      <c r="K8" s="16" t="str">
        <f aca="false">IF($E8="","",IFERROR(VLOOKUP($E8,题目信息!$B$5:$L$64,11,0),10))</f>
        <v/>
      </c>
      <c r="L8" s="18" t="str">
        <f aca="false">IF(OR($J8="",$K8=""),"",$J8/$K8)</f>
        <v/>
      </c>
      <c r="M8" s="11"/>
      <c r="N8" s="11"/>
      <c r="O8" s="14"/>
      <c r="P8" s="11"/>
    </row>
    <row r="9" customFormat="false" ht="21.75" hidden="false" customHeight="true" outlineLevel="0" collapsed="false">
      <c r="B9" s="7"/>
      <c r="C9" s="7"/>
      <c r="D9" s="7" t="str">
        <f aca="false">IF($C9="","",IFERROR(VLOOKUP($C9,模型信息!$B$5:$C$24,2,0),"未登记"))</f>
        <v/>
      </c>
      <c r="E9" s="7"/>
      <c r="F9" s="7" t="str">
        <f aca="false">IF($E9="","",IFERROR(VLOOKUP($E9,题目信息!$B$5:$C$64,2,0),"未登记"))</f>
        <v/>
      </c>
      <c r="G9" s="15"/>
      <c r="H9" s="7"/>
      <c r="I9" s="7" t="str">
        <f aca="false">IF($E9="","",IFERROR(VLOOKUP($E9,题目信息!$B$5:$J$64,9,0),""))</f>
        <v/>
      </c>
      <c r="J9" s="8"/>
      <c r="K9" s="15" t="str">
        <f aca="false">IF($E9="","",IFERROR(VLOOKUP($E9,题目信息!$B$5:$L$64,11,0),10))</f>
        <v/>
      </c>
      <c r="L9" s="17" t="str">
        <f aca="false">IF(OR($J9="",$K9=""),"",$J9/$K9)</f>
        <v/>
      </c>
      <c r="M9" s="7"/>
      <c r="N9" s="7"/>
      <c r="O9" s="10"/>
      <c r="P9" s="7"/>
    </row>
    <row r="10" customFormat="false" ht="21.75" hidden="false" customHeight="true" outlineLevel="0" collapsed="false">
      <c r="B10" s="11"/>
      <c r="C10" s="11"/>
      <c r="D10" s="11" t="str">
        <f aca="false">IF($C10="","",IFERROR(VLOOKUP($C10,模型信息!$B$5:$C$24,2,0),"未登记"))</f>
        <v/>
      </c>
      <c r="E10" s="11"/>
      <c r="F10" s="11" t="str">
        <f aca="false">IF($E10="","",IFERROR(VLOOKUP($E10,题目信息!$B$5:$C$64,2,0),"未登记"))</f>
        <v/>
      </c>
      <c r="G10" s="16"/>
      <c r="H10" s="11"/>
      <c r="I10" s="11" t="str">
        <f aca="false">IF($E10="","",IFERROR(VLOOKUP($E10,题目信息!$B$5:$J$64,9,0),""))</f>
        <v/>
      </c>
      <c r="J10" s="12"/>
      <c r="K10" s="16" t="str">
        <f aca="false">IF($E10="","",IFERROR(VLOOKUP($E10,题目信息!$B$5:$L$64,11,0),10))</f>
        <v/>
      </c>
      <c r="L10" s="18" t="str">
        <f aca="false">IF(OR($J10="",$K10=""),"",$J10/$K10)</f>
        <v/>
      </c>
      <c r="M10" s="11"/>
      <c r="N10" s="11"/>
      <c r="O10" s="14"/>
      <c r="P10" s="11"/>
    </row>
    <row r="11" customFormat="false" ht="21.75" hidden="false" customHeight="true" outlineLevel="0" collapsed="false">
      <c r="B11" s="7"/>
      <c r="C11" s="7"/>
      <c r="D11" s="7" t="str">
        <f aca="false">IF($C11="","",IFERROR(VLOOKUP($C11,模型信息!$B$5:$C$24,2,0),"未登记"))</f>
        <v/>
      </c>
      <c r="E11" s="7"/>
      <c r="F11" s="7" t="str">
        <f aca="false">IF($E11="","",IFERROR(VLOOKUP($E11,题目信息!$B$5:$C$64,2,0),"未登记"))</f>
        <v/>
      </c>
      <c r="G11" s="15"/>
      <c r="H11" s="7"/>
      <c r="I11" s="7" t="str">
        <f aca="false">IF($E11="","",IFERROR(VLOOKUP($E11,题目信息!$B$5:$J$64,9,0),""))</f>
        <v/>
      </c>
      <c r="J11" s="8"/>
      <c r="K11" s="15" t="str">
        <f aca="false">IF($E11="","",IFERROR(VLOOKUP($E11,题目信息!$B$5:$L$64,11,0),10))</f>
        <v/>
      </c>
      <c r="L11" s="17" t="str">
        <f aca="false">IF(OR($J11="",$K11=""),"",$J11/$K11)</f>
        <v/>
      </c>
      <c r="M11" s="7"/>
      <c r="N11" s="7"/>
      <c r="O11" s="10"/>
      <c r="P11" s="7"/>
    </row>
    <row r="12" customFormat="false" ht="21.75" hidden="false" customHeight="true" outlineLevel="0" collapsed="false">
      <c r="B12" s="11"/>
      <c r="C12" s="11"/>
      <c r="D12" s="11" t="str">
        <f aca="false">IF($C12="","",IFERROR(VLOOKUP($C12,模型信息!$B$5:$C$24,2,0),"未登记"))</f>
        <v/>
      </c>
      <c r="E12" s="11"/>
      <c r="F12" s="11" t="str">
        <f aca="false">IF($E12="","",IFERROR(VLOOKUP($E12,题目信息!$B$5:$C$64,2,0),"未登记"))</f>
        <v/>
      </c>
      <c r="G12" s="16"/>
      <c r="H12" s="11"/>
      <c r="I12" s="11" t="str">
        <f aca="false">IF($E12="","",IFERROR(VLOOKUP($E12,题目信息!$B$5:$J$64,9,0),""))</f>
        <v/>
      </c>
      <c r="J12" s="12"/>
      <c r="K12" s="16" t="str">
        <f aca="false">IF($E12="","",IFERROR(VLOOKUP($E12,题目信息!$B$5:$L$64,11,0),10))</f>
        <v/>
      </c>
      <c r="L12" s="18" t="str">
        <f aca="false">IF(OR($J12="",$K12=""),"",$J12/$K12)</f>
        <v/>
      </c>
      <c r="M12" s="11"/>
      <c r="N12" s="11"/>
      <c r="O12" s="14"/>
      <c r="P12" s="11"/>
    </row>
    <row r="13" customFormat="false" ht="21.75" hidden="false" customHeight="true" outlineLevel="0" collapsed="false">
      <c r="B13" s="7"/>
      <c r="C13" s="7"/>
      <c r="D13" s="7" t="str">
        <f aca="false">IF($C13="","",IFERROR(VLOOKUP($C13,模型信息!$B$5:$C$24,2,0),"未登记"))</f>
        <v/>
      </c>
      <c r="E13" s="7"/>
      <c r="F13" s="7" t="str">
        <f aca="false">IF($E13="","",IFERROR(VLOOKUP($E13,题目信息!$B$5:$C$64,2,0),"未登记"))</f>
        <v/>
      </c>
      <c r="G13" s="15"/>
      <c r="H13" s="7"/>
      <c r="I13" s="7" t="str">
        <f aca="false">IF($E13="","",IFERROR(VLOOKUP($E13,题目信息!$B$5:$J$64,9,0),""))</f>
        <v/>
      </c>
      <c r="J13" s="8"/>
      <c r="K13" s="15" t="str">
        <f aca="false">IF($E13="","",IFERROR(VLOOKUP($E13,题目信息!$B$5:$L$64,11,0),10))</f>
        <v/>
      </c>
      <c r="L13" s="17" t="str">
        <f aca="false">IF(OR($J13="",$K13=""),"",$J13/$K13)</f>
        <v/>
      </c>
      <c r="M13" s="7"/>
      <c r="N13" s="7"/>
      <c r="O13" s="10"/>
      <c r="P13" s="7"/>
    </row>
    <row r="14" customFormat="false" ht="21.75" hidden="false" customHeight="true" outlineLevel="0" collapsed="false">
      <c r="B14" s="11"/>
      <c r="C14" s="11"/>
      <c r="D14" s="11" t="str">
        <f aca="false">IF($C14="","",IFERROR(VLOOKUP($C14,模型信息!$B$5:$C$24,2,0),"未登记"))</f>
        <v/>
      </c>
      <c r="E14" s="11"/>
      <c r="F14" s="11" t="str">
        <f aca="false">IF($E14="","",IFERROR(VLOOKUP($E14,题目信息!$B$5:$C$64,2,0),"未登记"))</f>
        <v/>
      </c>
      <c r="G14" s="16"/>
      <c r="H14" s="11"/>
      <c r="I14" s="11" t="str">
        <f aca="false">IF($E14="","",IFERROR(VLOOKUP($E14,题目信息!$B$5:$J$64,9,0),""))</f>
        <v/>
      </c>
      <c r="J14" s="12"/>
      <c r="K14" s="16" t="str">
        <f aca="false">IF($E14="","",IFERROR(VLOOKUP($E14,题目信息!$B$5:$L$64,11,0),10))</f>
        <v/>
      </c>
      <c r="L14" s="18" t="str">
        <f aca="false">IF(OR($J14="",$K14=""),"",$J14/$K14)</f>
        <v/>
      </c>
      <c r="M14" s="11"/>
      <c r="N14" s="11"/>
      <c r="O14" s="14"/>
      <c r="P14" s="11"/>
    </row>
    <row r="15" customFormat="false" ht="21.75" hidden="false" customHeight="true" outlineLevel="0" collapsed="false">
      <c r="B15" s="7"/>
      <c r="C15" s="7"/>
      <c r="D15" s="7" t="str">
        <f aca="false">IF($C15="","",IFERROR(VLOOKUP($C15,模型信息!$B$5:$C$24,2,0),"未登记"))</f>
        <v/>
      </c>
      <c r="E15" s="7"/>
      <c r="F15" s="7" t="str">
        <f aca="false">IF($E15="","",IFERROR(VLOOKUP($E15,题目信息!$B$5:$C$64,2,0),"未登记"))</f>
        <v/>
      </c>
      <c r="G15" s="15"/>
      <c r="H15" s="7"/>
      <c r="I15" s="7" t="str">
        <f aca="false">IF($E15="","",IFERROR(VLOOKUP($E15,题目信息!$B$5:$J$64,9,0),""))</f>
        <v/>
      </c>
      <c r="J15" s="8"/>
      <c r="K15" s="15" t="str">
        <f aca="false">IF($E15="","",IFERROR(VLOOKUP($E15,题目信息!$B$5:$L$64,11,0),10))</f>
        <v/>
      </c>
      <c r="L15" s="17" t="str">
        <f aca="false">IF(OR($J15="",$K15=""),"",$J15/$K15)</f>
        <v/>
      </c>
      <c r="M15" s="7"/>
      <c r="N15" s="7"/>
      <c r="O15" s="10"/>
      <c r="P15" s="7"/>
    </row>
    <row r="16" customFormat="false" ht="21.75" hidden="false" customHeight="true" outlineLevel="0" collapsed="false">
      <c r="B16" s="11"/>
      <c r="C16" s="11"/>
      <c r="D16" s="11" t="str">
        <f aca="false">IF($C16="","",IFERROR(VLOOKUP($C16,模型信息!$B$5:$C$24,2,0),"未登记"))</f>
        <v/>
      </c>
      <c r="E16" s="11"/>
      <c r="F16" s="11" t="str">
        <f aca="false">IF($E16="","",IFERROR(VLOOKUP($E16,题目信息!$B$5:$C$64,2,0),"未登记"))</f>
        <v/>
      </c>
      <c r="G16" s="16"/>
      <c r="H16" s="11"/>
      <c r="I16" s="11" t="str">
        <f aca="false">IF($E16="","",IFERROR(VLOOKUP($E16,题目信息!$B$5:$J$64,9,0),""))</f>
        <v/>
      </c>
      <c r="J16" s="12"/>
      <c r="K16" s="16" t="str">
        <f aca="false">IF($E16="","",IFERROR(VLOOKUP($E16,题目信息!$B$5:$L$64,11,0),10))</f>
        <v/>
      </c>
      <c r="L16" s="18" t="str">
        <f aca="false">IF(OR($J16="",$K16=""),"",$J16/$K16)</f>
        <v/>
      </c>
      <c r="M16" s="11"/>
      <c r="N16" s="11"/>
      <c r="O16" s="14"/>
      <c r="P16" s="11"/>
    </row>
    <row r="17" customFormat="false" ht="21.75" hidden="false" customHeight="true" outlineLevel="0" collapsed="false">
      <c r="B17" s="7"/>
      <c r="C17" s="7"/>
      <c r="D17" s="7" t="str">
        <f aca="false">IF($C17="","",IFERROR(VLOOKUP($C17,模型信息!$B$5:$C$24,2,0),"未登记"))</f>
        <v/>
      </c>
      <c r="E17" s="7"/>
      <c r="F17" s="7" t="str">
        <f aca="false">IF($E17="","",IFERROR(VLOOKUP($E17,题目信息!$B$5:$C$64,2,0),"未登记"))</f>
        <v/>
      </c>
      <c r="G17" s="15"/>
      <c r="H17" s="7"/>
      <c r="I17" s="7" t="str">
        <f aca="false">IF($E17="","",IFERROR(VLOOKUP($E17,题目信息!$B$5:$J$64,9,0),""))</f>
        <v/>
      </c>
      <c r="J17" s="8"/>
      <c r="K17" s="15" t="str">
        <f aca="false">IF($E17="","",IFERROR(VLOOKUP($E17,题目信息!$B$5:$L$64,11,0),10))</f>
        <v/>
      </c>
      <c r="L17" s="17" t="str">
        <f aca="false">IF(OR($J17="",$K17=""),"",$J17/$K17)</f>
        <v/>
      </c>
      <c r="M17" s="7"/>
      <c r="N17" s="7"/>
      <c r="O17" s="10"/>
      <c r="P17" s="7"/>
    </row>
    <row r="18" customFormat="false" ht="21.75" hidden="false" customHeight="true" outlineLevel="0" collapsed="false">
      <c r="B18" s="11"/>
      <c r="C18" s="11"/>
      <c r="D18" s="11" t="str">
        <f aca="false">IF($C18="","",IFERROR(VLOOKUP($C18,模型信息!$B$5:$C$24,2,0),"未登记"))</f>
        <v/>
      </c>
      <c r="E18" s="11"/>
      <c r="F18" s="11" t="str">
        <f aca="false">IF($E18="","",IFERROR(VLOOKUP($E18,题目信息!$B$5:$C$64,2,0),"未登记"))</f>
        <v/>
      </c>
      <c r="G18" s="16"/>
      <c r="H18" s="11"/>
      <c r="I18" s="11" t="str">
        <f aca="false">IF($E18="","",IFERROR(VLOOKUP($E18,题目信息!$B$5:$J$64,9,0),""))</f>
        <v/>
      </c>
      <c r="J18" s="12"/>
      <c r="K18" s="16" t="str">
        <f aca="false">IF($E18="","",IFERROR(VLOOKUP($E18,题目信息!$B$5:$L$64,11,0),10))</f>
        <v/>
      </c>
      <c r="L18" s="18" t="str">
        <f aca="false">IF(OR($J18="",$K18=""),"",$J18/$K18)</f>
        <v/>
      </c>
      <c r="M18" s="11"/>
      <c r="N18" s="11"/>
      <c r="O18" s="14"/>
      <c r="P18" s="11"/>
    </row>
    <row r="19" customFormat="false" ht="21.75" hidden="false" customHeight="true" outlineLevel="0" collapsed="false">
      <c r="B19" s="7"/>
      <c r="C19" s="7"/>
      <c r="D19" s="7" t="str">
        <f aca="false">IF($C19="","",IFERROR(VLOOKUP($C19,模型信息!$B$5:$C$24,2,0),"未登记"))</f>
        <v/>
      </c>
      <c r="E19" s="7"/>
      <c r="F19" s="7" t="str">
        <f aca="false">IF($E19="","",IFERROR(VLOOKUP($E19,题目信息!$B$5:$C$64,2,0),"未登记"))</f>
        <v/>
      </c>
      <c r="G19" s="15"/>
      <c r="H19" s="7"/>
      <c r="I19" s="7" t="str">
        <f aca="false">IF($E19="","",IFERROR(VLOOKUP($E19,题目信息!$B$5:$J$64,9,0),""))</f>
        <v/>
      </c>
      <c r="J19" s="8"/>
      <c r="K19" s="15" t="str">
        <f aca="false">IF($E19="","",IFERROR(VLOOKUP($E19,题目信息!$B$5:$L$64,11,0),10))</f>
        <v/>
      </c>
      <c r="L19" s="17" t="str">
        <f aca="false">IF(OR($J19="",$K19=""),"",$J19/$K19)</f>
        <v/>
      </c>
      <c r="M19" s="7"/>
      <c r="N19" s="7"/>
      <c r="O19" s="10"/>
      <c r="P19" s="7"/>
    </row>
    <row r="20" customFormat="false" ht="21.75" hidden="false" customHeight="true" outlineLevel="0" collapsed="false">
      <c r="B20" s="11"/>
      <c r="C20" s="11"/>
      <c r="D20" s="11" t="str">
        <f aca="false">IF($C20="","",IFERROR(VLOOKUP($C20,模型信息!$B$5:$C$24,2,0),"未登记"))</f>
        <v/>
      </c>
      <c r="E20" s="11"/>
      <c r="F20" s="11" t="str">
        <f aca="false">IF($E20="","",IFERROR(VLOOKUP($E20,题目信息!$B$5:$C$64,2,0),"未登记"))</f>
        <v/>
      </c>
      <c r="G20" s="16"/>
      <c r="H20" s="11"/>
      <c r="I20" s="11" t="str">
        <f aca="false">IF($E20="","",IFERROR(VLOOKUP($E20,题目信息!$B$5:$J$64,9,0),""))</f>
        <v/>
      </c>
      <c r="J20" s="12"/>
      <c r="K20" s="16" t="str">
        <f aca="false">IF($E20="","",IFERROR(VLOOKUP($E20,题目信息!$B$5:$L$64,11,0),10))</f>
        <v/>
      </c>
      <c r="L20" s="18" t="str">
        <f aca="false">IF(OR($J20="",$K20=""),"",$J20/$K20)</f>
        <v/>
      </c>
      <c r="M20" s="11"/>
      <c r="N20" s="11"/>
      <c r="O20" s="14"/>
      <c r="P20" s="11"/>
    </row>
    <row r="21" customFormat="false" ht="21.75" hidden="false" customHeight="true" outlineLevel="0" collapsed="false">
      <c r="B21" s="7"/>
      <c r="C21" s="7"/>
      <c r="D21" s="7" t="str">
        <f aca="false">IF($C21="","",IFERROR(VLOOKUP($C21,模型信息!$B$5:$C$24,2,0),"未登记"))</f>
        <v/>
      </c>
      <c r="E21" s="7"/>
      <c r="F21" s="7" t="str">
        <f aca="false">IF($E21="","",IFERROR(VLOOKUP($E21,题目信息!$B$5:$C$64,2,0),"未登记"))</f>
        <v/>
      </c>
      <c r="G21" s="15"/>
      <c r="H21" s="7"/>
      <c r="I21" s="7" t="str">
        <f aca="false">IF($E21="","",IFERROR(VLOOKUP($E21,题目信息!$B$5:$J$64,9,0),""))</f>
        <v/>
      </c>
      <c r="J21" s="8"/>
      <c r="K21" s="15" t="str">
        <f aca="false">IF($E21="","",IFERROR(VLOOKUP($E21,题目信息!$B$5:$L$64,11,0),10))</f>
        <v/>
      </c>
      <c r="L21" s="17" t="str">
        <f aca="false">IF(OR($J21="",$K21=""),"",$J21/$K21)</f>
        <v/>
      </c>
      <c r="M21" s="7"/>
      <c r="N21" s="7"/>
      <c r="O21" s="10"/>
      <c r="P21" s="7"/>
    </row>
    <row r="22" customFormat="false" ht="21.75" hidden="false" customHeight="true" outlineLevel="0" collapsed="false">
      <c r="B22" s="11"/>
      <c r="C22" s="11"/>
      <c r="D22" s="11" t="str">
        <f aca="false">IF($C22="","",IFERROR(VLOOKUP($C22,模型信息!$B$5:$C$24,2,0),"未登记"))</f>
        <v/>
      </c>
      <c r="E22" s="11"/>
      <c r="F22" s="11" t="str">
        <f aca="false">IF($E22="","",IFERROR(VLOOKUP($E22,题目信息!$B$5:$C$64,2,0),"未登记"))</f>
        <v/>
      </c>
      <c r="G22" s="16"/>
      <c r="H22" s="11"/>
      <c r="I22" s="11" t="str">
        <f aca="false">IF($E22="","",IFERROR(VLOOKUP($E22,题目信息!$B$5:$J$64,9,0),""))</f>
        <v/>
      </c>
      <c r="J22" s="12"/>
      <c r="K22" s="16" t="str">
        <f aca="false">IF($E22="","",IFERROR(VLOOKUP($E22,题目信息!$B$5:$L$64,11,0),10))</f>
        <v/>
      </c>
      <c r="L22" s="18" t="str">
        <f aca="false">IF(OR($J22="",$K22=""),"",$J22/$K22)</f>
        <v/>
      </c>
      <c r="M22" s="11"/>
      <c r="N22" s="11"/>
      <c r="O22" s="14"/>
      <c r="P22" s="11"/>
    </row>
    <row r="23" customFormat="false" ht="21.75" hidden="false" customHeight="true" outlineLevel="0" collapsed="false">
      <c r="B23" s="7"/>
      <c r="C23" s="7"/>
      <c r="D23" s="7" t="str">
        <f aca="false">IF($C23="","",IFERROR(VLOOKUP($C23,模型信息!$B$5:$C$24,2,0),"未登记"))</f>
        <v/>
      </c>
      <c r="E23" s="7"/>
      <c r="F23" s="7" t="str">
        <f aca="false">IF($E23="","",IFERROR(VLOOKUP($E23,题目信息!$B$5:$C$64,2,0),"未登记"))</f>
        <v/>
      </c>
      <c r="G23" s="15"/>
      <c r="H23" s="7"/>
      <c r="I23" s="7" t="str">
        <f aca="false">IF($E23="","",IFERROR(VLOOKUP($E23,题目信息!$B$5:$J$64,9,0),""))</f>
        <v/>
      </c>
      <c r="J23" s="8"/>
      <c r="K23" s="15" t="str">
        <f aca="false">IF($E23="","",IFERROR(VLOOKUP($E23,题目信息!$B$5:$L$64,11,0),10))</f>
        <v/>
      </c>
      <c r="L23" s="17" t="str">
        <f aca="false">IF(OR($J23="",$K23=""),"",$J23/$K23)</f>
        <v/>
      </c>
      <c r="M23" s="7"/>
      <c r="N23" s="7"/>
      <c r="O23" s="10"/>
      <c r="P23" s="7"/>
    </row>
    <row r="24" customFormat="false" ht="21.75" hidden="false" customHeight="true" outlineLevel="0" collapsed="false">
      <c r="B24" s="11"/>
      <c r="C24" s="11"/>
      <c r="D24" s="11" t="str">
        <f aca="false">IF($C24="","",IFERROR(VLOOKUP($C24,模型信息!$B$5:$C$24,2,0),"未登记"))</f>
        <v/>
      </c>
      <c r="E24" s="11"/>
      <c r="F24" s="11" t="str">
        <f aca="false">IF($E24="","",IFERROR(VLOOKUP($E24,题目信息!$B$5:$C$64,2,0),"未登记"))</f>
        <v/>
      </c>
      <c r="G24" s="16"/>
      <c r="H24" s="11"/>
      <c r="I24" s="11" t="str">
        <f aca="false">IF($E24="","",IFERROR(VLOOKUP($E24,题目信息!$B$5:$J$64,9,0),""))</f>
        <v/>
      </c>
      <c r="J24" s="12"/>
      <c r="K24" s="16" t="str">
        <f aca="false">IF($E24="","",IFERROR(VLOOKUP($E24,题目信息!$B$5:$L$64,11,0),10))</f>
        <v/>
      </c>
      <c r="L24" s="18" t="str">
        <f aca="false">IF(OR($J24="",$K24=""),"",$J24/$K24)</f>
        <v/>
      </c>
      <c r="M24" s="11"/>
      <c r="N24" s="11"/>
      <c r="O24" s="14"/>
      <c r="P24" s="11"/>
    </row>
    <row r="25" customFormat="false" ht="21.75" hidden="false" customHeight="true" outlineLevel="0" collapsed="false">
      <c r="B25" s="7"/>
      <c r="C25" s="7"/>
      <c r="D25" s="7" t="str">
        <f aca="false">IF($C25="","",IFERROR(VLOOKUP($C25,模型信息!$B$5:$C$24,2,0),"未登记"))</f>
        <v/>
      </c>
      <c r="E25" s="7"/>
      <c r="F25" s="7" t="str">
        <f aca="false">IF($E25="","",IFERROR(VLOOKUP($E25,题目信息!$B$5:$C$64,2,0),"未登记"))</f>
        <v/>
      </c>
      <c r="G25" s="15"/>
      <c r="H25" s="7"/>
      <c r="I25" s="7" t="str">
        <f aca="false">IF($E25="","",IFERROR(VLOOKUP($E25,题目信息!$B$5:$J$64,9,0),""))</f>
        <v/>
      </c>
      <c r="J25" s="8"/>
      <c r="K25" s="15" t="str">
        <f aca="false">IF($E25="","",IFERROR(VLOOKUP($E25,题目信息!$B$5:$L$64,11,0),10))</f>
        <v/>
      </c>
      <c r="L25" s="17" t="str">
        <f aca="false">IF(OR($J25="",$K25=""),"",$J25/$K25)</f>
        <v/>
      </c>
      <c r="M25" s="7"/>
      <c r="N25" s="7"/>
      <c r="O25" s="10"/>
      <c r="P25" s="7"/>
    </row>
    <row r="26" customFormat="false" ht="21.75" hidden="false" customHeight="true" outlineLevel="0" collapsed="false">
      <c r="B26" s="11"/>
      <c r="C26" s="11"/>
      <c r="D26" s="11" t="str">
        <f aca="false">IF($C26="","",IFERROR(VLOOKUP($C26,模型信息!$B$5:$C$24,2,0),"未登记"))</f>
        <v/>
      </c>
      <c r="E26" s="11"/>
      <c r="F26" s="11" t="str">
        <f aca="false">IF($E26="","",IFERROR(VLOOKUP($E26,题目信息!$B$5:$C$64,2,0),"未登记"))</f>
        <v/>
      </c>
      <c r="G26" s="16"/>
      <c r="H26" s="11"/>
      <c r="I26" s="11" t="str">
        <f aca="false">IF($E26="","",IFERROR(VLOOKUP($E26,题目信息!$B$5:$J$64,9,0),""))</f>
        <v/>
      </c>
      <c r="J26" s="12"/>
      <c r="K26" s="16" t="str">
        <f aca="false">IF($E26="","",IFERROR(VLOOKUP($E26,题目信息!$B$5:$L$64,11,0),10))</f>
        <v/>
      </c>
      <c r="L26" s="18" t="str">
        <f aca="false">IF(OR($J26="",$K26=""),"",$J26/$K26)</f>
        <v/>
      </c>
      <c r="M26" s="11"/>
      <c r="N26" s="11"/>
      <c r="O26" s="14"/>
      <c r="P26" s="11"/>
    </row>
    <row r="27" customFormat="false" ht="21.75" hidden="false" customHeight="true" outlineLevel="0" collapsed="false">
      <c r="B27" s="7"/>
      <c r="C27" s="7"/>
      <c r="D27" s="7" t="str">
        <f aca="false">IF($C27="","",IFERROR(VLOOKUP($C27,模型信息!$B$5:$C$24,2,0),"未登记"))</f>
        <v/>
      </c>
      <c r="E27" s="7"/>
      <c r="F27" s="7" t="str">
        <f aca="false">IF($E27="","",IFERROR(VLOOKUP($E27,题目信息!$B$5:$C$64,2,0),"未登记"))</f>
        <v/>
      </c>
      <c r="G27" s="15"/>
      <c r="H27" s="7"/>
      <c r="I27" s="7" t="str">
        <f aca="false">IF($E27="","",IFERROR(VLOOKUP($E27,题目信息!$B$5:$J$64,9,0),""))</f>
        <v/>
      </c>
      <c r="J27" s="8"/>
      <c r="K27" s="15" t="str">
        <f aca="false">IF($E27="","",IFERROR(VLOOKUP($E27,题目信息!$B$5:$L$64,11,0),10))</f>
        <v/>
      </c>
      <c r="L27" s="17" t="str">
        <f aca="false">IF(OR($J27="",$K27=""),"",$J27/$K27)</f>
        <v/>
      </c>
      <c r="M27" s="7"/>
      <c r="N27" s="7"/>
      <c r="O27" s="10"/>
      <c r="P27" s="7"/>
    </row>
    <row r="28" customFormat="false" ht="21.75" hidden="false" customHeight="true" outlineLevel="0" collapsed="false">
      <c r="B28" s="11"/>
      <c r="C28" s="11"/>
      <c r="D28" s="11" t="str">
        <f aca="false">IF($C28="","",IFERROR(VLOOKUP($C28,模型信息!$B$5:$C$24,2,0),"未登记"))</f>
        <v/>
      </c>
      <c r="E28" s="11"/>
      <c r="F28" s="11" t="str">
        <f aca="false">IF($E28="","",IFERROR(VLOOKUP($E28,题目信息!$B$5:$C$64,2,0),"未登记"))</f>
        <v/>
      </c>
      <c r="G28" s="16"/>
      <c r="H28" s="11"/>
      <c r="I28" s="11" t="str">
        <f aca="false">IF($E28="","",IFERROR(VLOOKUP($E28,题目信息!$B$5:$J$64,9,0),""))</f>
        <v/>
      </c>
      <c r="J28" s="12"/>
      <c r="K28" s="16" t="str">
        <f aca="false">IF($E28="","",IFERROR(VLOOKUP($E28,题目信息!$B$5:$L$64,11,0),10))</f>
        <v/>
      </c>
      <c r="L28" s="18" t="str">
        <f aca="false">IF(OR($J28="",$K28=""),"",$J28/$K28)</f>
        <v/>
      </c>
      <c r="M28" s="11"/>
      <c r="N28" s="11"/>
      <c r="O28" s="14"/>
      <c r="P28" s="11"/>
    </row>
    <row r="29" customFormat="false" ht="21.75" hidden="false" customHeight="true" outlineLevel="0" collapsed="false">
      <c r="B29" s="7"/>
      <c r="C29" s="7"/>
      <c r="D29" s="7" t="str">
        <f aca="false">IF($C29="","",IFERROR(VLOOKUP($C29,模型信息!$B$5:$C$24,2,0),"未登记"))</f>
        <v/>
      </c>
      <c r="E29" s="7"/>
      <c r="F29" s="7" t="str">
        <f aca="false">IF($E29="","",IFERROR(VLOOKUP($E29,题目信息!$B$5:$C$64,2,0),"未登记"))</f>
        <v/>
      </c>
      <c r="G29" s="15"/>
      <c r="H29" s="7"/>
      <c r="I29" s="7" t="str">
        <f aca="false">IF($E29="","",IFERROR(VLOOKUP($E29,题目信息!$B$5:$J$64,9,0),""))</f>
        <v/>
      </c>
      <c r="J29" s="8"/>
      <c r="K29" s="15" t="str">
        <f aca="false">IF($E29="","",IFERROR(VLOOKUP($E29,题目信息!$B$5:$L$64,11,0),10))</f>
        <v/>
      </c>
      <c r="L29" s="17" t="str">
        <f aca="false">IF(OR($J29="",$K29=""),"",$J29/$K29)</f>
        <v/>
      </c>
      <c r="M29" s="7"/>
      <c r="N29" s="7"/>
      <c r="O29" s="10"/>
      <c r="P29" s="7"/>
    </row>
    <row r="30" customFormat="false" ht="21.75" hidden="false" customHeight="true" outlineLevel="0" collapsed="false">
      <c r="B30" s="11"/>
      <c r="C30" s="11"/>
      <c r="D30" s="11" t="str">
        <f aca="false">IF($C30="","",IFERROR(VLOOKUP($C30,模型信息!$B$5:$C$24,2,0),"未登记"))</f>
        <v/>
      </c>
      <c r="E30" s="11"/>
      <c r="F30" s="11" t="str">
        <f aca="false">IF($E30="","",IFERROR(VLOOKUP($E30,题目信息!$B$5:$C$64,2,0),"未登记"))</f>
        <v/>
      </c>
      <c r="G30" s="16"/>
      <c r="H30" s="11"/>
      <c r="I30" s="11" t="str">
        <f aca="false">IF($E30="","",IFERROR(VLOOKUP($E30,题目信息!$B$5:$J$64,9,0),""))</f>
        <v/>
      </c>
      <c r="J30" s="12"/>
      <c r="K30" s="16" t="str">
        <f aca="false">IF($E30="","",IFERROR(VLOOKUP($E30,题目信息!$B$5:$L$64,11,0),10))</f>
        <v/>
      </c>
      <c r="L30" s="18" t="str">
        <f aca="false">IF(OR($J30="",$K30=""),"",$J30/$K30)</f>
        <v/>
      </c>
      <c r="M30" s="11"/>
      <c r="N30" s="11"/>
      <c r="O30" s="14"/>
      <c r="P30" s="11"/>
    </row>
    <row r="31" customFormat="false" ht="21.75" hidden="false" customHeight="true" outlineLevel="0" collapsed="false">
      <c r="B31" s="7"/>
      <c r="C31" s="7"/>
      <c r="D31" s="7" t="str">
        <f aca="false">IF($C31="","",IFERROR(VLOOKUP($C31,模型信息!$B$5:$C$24,2,0),"未登记"))</f>
        <v/>
      </c>
      <c r="E31" s="7"/>
      <c r="F31" s="7" t="str">
        <f aca="false">IF($E31="","",IFERROR(VLOOKUP($E31,题目信息!$B$5:$C$64,2,0),"未登记"))</f>
        <v/>
      </c>
      <c r="G31" s="15"/>
      <c r="H31" s="7"/>
      <c r="I31" s="7" t="str">
        <f aca="false">IF($E31="","",IFERROR(VLOOKUP($E31,题目信息!$B$5:$J$64,9,0),""))</f>
        <v/>
      </c>
      <c r="J31" s="8"/>
      <c r="K31" s="15" t="str">
        <f aca="false">IF($E31="","",IFERROR(VLOOKUP($E31,题目信息!$B$5:$L$64,11,0),10))</f>
        <v/>
      </c>
      <c r="L31" s="17" t="str">
        <f aca="false">IF(OR($J31="",$K31=""),"",$J31/$K31)</f>
        <v/>
      </c>
      <c r="M31" s="7"/>
      <c r="N31" s="7"/>
      <c r="O31" s="10"/>
      <c r="P31" s="7"/>
    </row>
    <row r="32" customFormat="false" ht="21.75" hidden="false" customHeight="true" outlineLevel="0" collapsed="false">
      <c r="B32" s="11"/>
      <c r="C32" s="11"/>
      <c r="D32" s="11" t="str">
        <f aca="false">IF($C32="","",IFERROR(VLOOKUP($C32,模型信息!$B$5:$C$24,2,0),"未登记"))</f>
        <v/>
      </c>
      <c r="E32" s="11"/>
      <c r="F32" s="11" t="str">
        <f aca="false">IF($E32="","",IFERROR(VLOOKUP($E32,题目信息!$B$5:$C$64,2,0),"未登记"))</f>
        <v/>
      </c>
      <c r="G32" s="16"/>
      <c r="H32" s="11"/>
      <c r="I32" s="11" t="str">
        <f aca="false">IF($E32="","",IFERROR(VLOOKUP($E32,题目信息!$B$5:$J$64,9,0),""))</f>
        <v/>
      </c>
      <c r="J32" s="12"/>
      <c r="K32" s="16" t="str">
        <f aca="false">IF($E32="","",IFERROR(VLOOKUP($E32,题目信息!$B$5:$L$64,11,0),10))</f>
        <v/>
      </c>
      <c r="L32" s="18" t="str">
        <f aca="false">IF(OR($J32="",$K32=""),"",$J32/$K32)</f>
        <v/>
      </c>
      <c r="M32" s="11"/>
      <c r="N32" s="11"/>
      <c r="O32" s="14"/>
      <c r="P32" s="11"/>
    </row>
    <row r="33" customFormat="false" ht="21.75" hidden="false" customHeight="true" outlineLevel="0" collapsed="false">
      <c r="B33" s="7"/>
      <c r="C33" s="7"/>
      <c r="D33" s="7" t="str">
        <f aca="false">IF($C33="","",IFERROR(VLOOKUP($C33,模型信息!$B$5:$C$24,2,0),"未登记"))</f>
        <v/>
      </c>
      <c r="E33" s="7"/>
      <c r="F33" s="7" t="str">
        <f aca="false">IF($E33="","",IFERROR(VLOOKUP($E33,题目信息!$B$5:$C$64,2,0),"未登记"))</f>
        <v/>
      </c>
      <c r="G33" s="15"/>
      <c r="H33" s="7"/>
      <c r="I33" s="7" t="str">
        <f aca="false">IF($E33="","",IFERROR(VLOOKUP($E33,题目信息!$B$5:$J$64,9,0),""))</f>
        <v/>
      </c>
      <c r="J33" s="8"/>
      <c r="K33" s="15" t="str">
        <f aca="false">IF($E33="","",IFERROR(VLOOKUP($E33,题目信息!$B$5:$L$64,11,0),10))</f>
        <v/>
      </c>
      <c r="L33" s="17" t="str">
        <f aca="false">IF(OR($J33="",$K33=""),"",$J33/$K33)</f>
        <v/>
      </c>
      <c r="M33" s="7"/>
      <c r="N33" s="7"/>
      <c r="O33" s="10"/>
      <c r="P33" s="7"/>
    </row>
    <row r="34" customFormat="false" ht="21.75" hidden="false" customHeight="true" outlineLevel="0" collapsed="false">
      <c r="B34" s="11"/>
      <c r="C34" s="11"/>
      <c r="D34" s="11" t="str">
        <f aca="false">IF($C34="","",IFERROR(VLOOKUP($C34,模型信息!$B$5:$C$24,2,0),"未登记"))</f>
        <v/>
      </c>
      <c r="E34" s="11"/>
      <c r="F34" s="11" t="str">
        <f aca="false">IF($E34="","",IFERROR(VLOOKUP($E34,题目信息!$B$5:$C$64,2,0),"未登记"))</f>
        <v/>
      </c>
      <c r="G34" s="16"/>
      <c r="H34" s="11"/>
      <c r="I34" s="11" t="str">
        <f aca="false">IF($E34="","",IFERROR(VLOOKUP($E34,题目信息!$B$5:$J$64,9,0),""))</f>
        <v/>
      </c>
      <c r="J34" s="12"/>
      <c r="K34" s="16" t="str">
        <f aca="false">IF($E34="","",IFERROR(VLOOKUP($E34,题目信息!$B$5:$L$64,11,0),10))</f>
        <v/>
      </c>
      <c r="L34" s="18" t="str">
        <f aca="false">IF(OR($J34="",$K34=""),"",$J34/$K34)</f>
        <v/>
      </c>
      <c r="M34" s="11"/>
      <c r="N34" s="11"/>
      <c r="O34" s="14"/>
      <c r="P34" s="11"/>
    </row>
    <row r="35" customFormat="false" ht="21.75" hidden="false" customHeight="true" outlineLevel="0" collapsed="false">
      <c r="B35" s="7"/>
      <c r="C35" s="7"/>
      <c r="D35" s="7" t="str">
        <f aca="false">IF($C35="","",IFERROR(VLOOKUP($C35,模型信息!$B$5:$C$24,2,0),"未登记"))</f>
        <v/>
      </c>
      <c r="E35" s="7"/>
      <c r="F35" s="7" t="str">
        <f aca="false">IF($E35="","",IFERROR(VLOOKUP($E35,题目信息!$B$5:$C$64,2,0),"未登记"))</f>
        <v/>
      </c>
      <c r="G35" s="15"/>
      <c r="H35" s="7"/>
      <c r="I35" s="7" t="str">
        <f aca="false">IF($E35="","",IFERROR(VLOOKUP($E35,题目信息!$B$5:$J$64,9,0),""))</f>
        <v/>
      </c>
      <c r="J35" s="8"/>
      <c r="K35" s="15" t="str">
        <f aca="false">IF($E35="","",IFERROR(VLOOKUP($E35,题目信息!$B$5:$L$64,11,0),10))</f>
        <v/>
      </c>
      <c r="L35" s="17" t="str">
        <f aca="false">IF(OR($J35="",$K35=""),"",$J35/$K35)</f>
        <v/>
      </c>
      <c r="M35" s="7"/>
      <c r="N35" s="7"/>
      <c r="O35" s="10"/>
      <c r="P35" s="7"/>
    </row>
    <row r="36" customFormat="false" ht="21.75" hidden="false" customHeight="true" outlineLevel="0" collapsed="false">
      <c r="B36" s="11"/>
      <c r="C36" s="11"/>
      <c r="D36" s="11" t="str">
        <f aca="false">IF($C36="","",IFERROR(VLOOKUP($C36,模型信息!$B$5:$C$24,2,0),"未登记"))</f>
        <v/>
      </c>
      <c r="E36" s="11"/>
      <c r="F36" s="11" t="str">
        <f aca="false">IF($E36="","",IFERROR(VLOOKUP($E36,题目信息!$B$5:$C$64,2,0),"未登记"))</f>
        <v/>
      </c>
      <c r="G36" s="16"/>
      <c r="H36" s="11"/>
      <c r="I36" s="11" t="str">
        <f aca="false">IF($E36="","",IFERROR(VLOOKUP($E36,题目信息!$B$5:$J$64,9,0),""))</f>
        <v/>
      </c>
      <c r="J36" s="12"/>
      <c r="K36" s="16" t="str">
        <f aca="false">IF($E36="","",IFERROR(VLOOKUP($E36,题目信息!$B$5:$L$64,11,0),10))</f>
        <v/>
      </c>
      <c r="L36" s="18" t="str">
        <f aca="false">IF(OR($J36="",$K36=""),"",$J36/$K36)</f>
        <v/>
      </c>
      <c r="M36" s="11"/>
      <c r="N36" s="11"/>
      <c r="O36" s="14"/>
      <c r="P36" s="11"/>
    </row>
    <row r="37" customFormat="false" ht="21.75" hidden="false" customHeight="true" outlineLevel="0" collapsed="false">
      <c r="B37" s="7"/>
      <c r="C37" s="7"/>
      <c r="D37" s="7" t="str">
        <f aca="false">IF($C37="","",IFERROR(VLOOKUP($C37,模型信息!$B$5:$C$24,2,0),"未登记"))</f>
        <v/>
      </c>
      <c r="E37" s="7"/>
      <c r="F37" s="7" t="str">
        <f aca="false">IF($E37="","",IFERROR(VLOOKUP($E37,题目信息!$B$5:$C$64,2,0),"未登记"))</f>
        <v/>
      </c>
      <c r="G37" s="15"/>
      <c r="H37" s="7"/>
      <c r="I37" s="7" t="str">
        <f aca="false">IF($E37="","",IFERROR(VLOOKUP($E37,题目信息!$B$5:$J$64,9,0),""))</f>
        <v/>
      </c>
      <c r="J37" s="8"/>
      <c r="K37" s="15" t="str">
        <f aca="false">IF($E37="","",IFERROR(VLOOKUP($E37,题目信息!$B$5:$L$64,11,0),10))</f>
        <v/>
      </c>
      <c r="L37" s="17" t="str">
        <f aca="false">IF(OR($J37="",$K37=""),"",$J37/$K37)</f>
        <v/>
      </c>
      <c r="M37" s="7"/>
      <c r="N37" s="7"/>
      <c r="O37" s="10"/>
      <c r="P37" s="7"/>
    </row>
    <row r="38" customFormat="false" ht="21.75" hidden="false" customHeight="true" outlineLevel="0" collapsed="false">
      <c r="B38" s="11"/>
      <c r="C38" s="11"/>
      <c r="D38" s="11" t="str">
        <f aca="false">IF($C38="","",IFERROR(VLOOKUP($C38,模型信息!$B$5:$C$24,2,0),"未登记"))</f>
        <v/>
      </c>
      <c r="E38" s="11"/>
      <c r="F38" s="11" t="str">
        <f aca="false">IF($E38="","",IFERROR(VLOOKUP($E38,题目信息!$B$5:$C$64,2,0),"未登记"))</f>
        <v/>
      </c>
      <c r="G38" s="16"/>
      <c r="H38" s="11"/>
      <c r="I38" s="11" t="str">
        <f aca="false">IF($E38="","",IFERROR(VLOOKUP($E38,题目信息!$B$5:$J$64,9,0),""))</f>
        <v/>
      </c>
      <c r="J38" s="12"/>
      <c r="K38" s="16" t="str">
        <f aca="false">IF($E38="","",IFERROR(VLOOKUP($E38,题目信息!$B$5:$L$64,11,0),10))</f>
        <v/>
      </c>
      <c r="L38" s="18" t="str">
        <f aca="false">IF(OR($J38="",$K38=""),"",$J38/$K38)</f>
        <v/>
      </c>
      <c r="M38" s="11"/>
      <c r="N38" s="11"/>
      <c r="O38" s="14"/>
      <c r="P38" s="11"/>
    </row>
    <row r="39" customFormat="false" ht="21.75" hidden="false" customHeight="true" outlineLevel="0" collapsed="false">
      <c r="B39" s="7"/>
      <c r="C39" s="7"/>
      <c r="D39" s="7" t="str">
        <f aca="false">IF($C39="","",IFERROR(VLOOKUP($C39,模型信息!$B$5:$C$24,2,0),"未登记"))</f>
        <v/>
      </c>
      <c r="E39" s="7"/>
      <c r="F39" s="7" t="str">
        <f aca="false">IF($E39="","",IFERROR(VLOOKUP($E39,题目信息!$B$5:$C$64,2,0),"未登记"))</f>
        <v/>
      </c>
      <c r="G39" s="15"/>
      <c r="H39" s="7"/>
      <c r="I39" s="7" t="str">
        <f aca="false">IF($E39="","",IFERROR(VLOOKUP($E39,题目信息!$B$5:$J$64,9,0),""))</f>
        <v/>
      </c>
      <c r="J39" s="8"/>
      <c r="K39" s="15" t="str">
        <f aca="false">IF($E39="","",IFERROR(VLOOKUP($E39,题目信息!$B$5:$L$64,11,0),10))</f>
        <v/>
      </c>
      <c r="L39" s="17" t="str">
        <f aca="false">IF(OR($J39="",$K39=""),"",$J39/$K39)</f>
        <v/>
      </c>
      <c r="M39" s="7"/>
      <c r="N39" s="7"/>
      <c r="O39" s="10"/>
      <c r="P39" s="7"/>
    </row>
    <row r="40" customFormat="false" ht="21.75" hidden="false" customHeight="true" outlineLevel="0" collapsed="false">
      <c r="B40" s="11"/>
      <c r="C40" s="11"/>
      <c r="D40" s="11" t="str">
        <f aca="false">IF($C40="","",IFERROR(VLOOKUP($C40,模型信息!$B$5:$C$24,2,0),"未登记"))</f>
        <v/>
      </c>
      <c r="E40" s="11"/>
      <c r="F40" s="11" t="str">
        <f aca="false">IF($E40="","",IFERROR(VLOOKUP($E40,题目信息!$B$5:$C$64,2,0),"未登记"))</f>
        <v/>
      </c>
      <c r="G40" s="16"/>
      <c r="H40" s="11"/>
      <c r="I40" s="11" t="str">
        <f aca="false">IF($E40="","",IFERROR(VLOOKUP($E40,题目信息!$B$5:$J$64,9,0),""))</f>
        <v/>
      </c>
      <c r="J40" s="12"/>
      <c r="K40" s="16" t="str">
        <f aca="false">IF($E40="","",IFERROR(VLOOKUP($E40,题目信息!$B$5:$L$64,11,0),10))</f>
        <v/>
      </c>
      <c r="L40" s="18" t="str">
        <f aca="false">IF(OR($J40="",$K40=""),"",$J40/$K40)</f>
        <v/>
      </c>
      <c r="M40" s="11"/>
      <c r="N40" s="11"/>
      <c r="O40" s="14"/>
      <c r="P40" s="11"/>
    </row>
    <row r="41" customFormat="false" ht="21.75" hidden="false" customHeight="true" outlineLevel="0" collapsed="false">
      <c r="B41" s="7"/>
      <c r="C41" s="7"/>
      <c r="D41" s="7" t="str">
        <f aca="false">IF($C41="","",IFERROR(VLOOKUP($C41,模型信息!$B$5:$C$24,2,0),"未登记"))</f>
        <v/>
      </c>
      <c r="E41" s="7"/>
      <c r="F41" s="7" t="str">
        <f aca="false">IF($E41="","",IFERROR(VLOOKUP($E41,题目信息!$B$5:$C$64,2,0),"未登记"))</f>
        <v/>
      </c>
      <c r="G41" s="15"/>
      <c r="H41" s="7"/>
      <c r="I41" s="7" t="str">
        <f aca="false">IF($E41="","",IFERROR(VLOOKUP($E41,题目信息!$B$5:$J$64,9,0),""))</f>
        <v/>
      </c>
      <c r="J41" s="8"/>
      <c r="K41" s="15" t="str">
        <f aca="false">IF($E41="","",IFERROR(VLOOKUP($E41,题目信息!$B$5:$L$64,11,0),10))</f>
        <v/>
      </c>
      <c r="L41" s="17" t="str">
        <f aca="false">IF(OR($J41="",$K41=""),"",$J41/$K41)</f>
        <v/>
      </c>
      <c r="M41" s="7"/>
      <c r="N41" s="7"/>
      <c r="O41" s="10"/>
      <c r="P41" s="7"/>
    </row>
    <row r="42" customFormat="false" ht="21.75" hidden="false" customHeight="true" outlineLevel="0" collapsed="false">
      <c r="B42" s="11"/>
      <c r="C42" s="11"/>
      <c r="D42" s="11" t="str">
        <f aca="false">IF($C42="","",IFERROR(VLOOKUP($C42,模型信息!$B$5:$C$24,2,0),"未登记"))</f>
        <v/>
      </c>
      <c r="E42" s="11"/>
      <c r="F42" s="11" t="str">
        <f aca="false">IF($E42="","",IFERROR(VLOOKUP($E42,题目信息!$B$5:$C$64,2,0),"未登记"))</f>
        <v/>
      </c>
      <c r="G42" s="16"/>
      <c r="H42" s="11"/>
      <c r="I42" s="11" t="str">
        <f aca="false">IF($E42="","",IFERROR(VLOOKUP($E42,题目信息!$B$5:$J$64,9,0),""))</f>
        <v/>
      </c>
      <c r="J42" s="12"/>
      <c r="K42" s="16" t="str">
        <f aca="false">IF($E42="","",IFERROR(VLOOKUP($E42,题目信息!$B$5:$L$64,11,0),10))</f>
        <v/>
      </c>
      <c r="L42" s="18" t="str">
        <f aca="false">IF(OR($J42="",$K42=""),"",$J42/$K42)</f>
        <v/>
      </c>
      <c r="M42" s="11"/>
      <c r="N42" s="11"/>
      <c r="O42" s="14"/>
      <c r="P42" s="11"/>
    </row>
    <row r="43" customFormat="false" ht="21.75" hidden="false" customHeight="true" outlineLevel="0" collapsed="false">
      <c r="B43" s="7"/>
      <c r="C43" s="7"/>
      <c r="D43" s="7" t="str">
        <f aca="false">IF($C43="","",IFERROR(VLOOKUP($C43,模型信息!$B$5:$C$24,2,0),"未登记"))</f>
        <v/>
      </c>
      <c r="E43" s="7"/>
      <c r="F43" s="7" t="str">
        <f aca="false">IF($E43="","",IFERROR(VLOOKUP($E43,题目信息!$B$5:$C$64,2,0),"未登记"))</f>
        <v/>
      </c>
      <c r="G43" s="15"/>
      <c r="H43" s="7"/>
      <c r="I43" s="7" t="str">
        <f aca="false">IF($E43="","",IFERROR(VLOOKUP($E43,题目信息!$B$5:$J$64,9,0),""))</f>
        <v/>
      </c>
      <c r="J43" s="8"/>
      <c r="K43" s="15" t="str">
        <f aca="false">IF($E43="","",IFERROR(VLOOKUP($E43,题目信息!$B$5:$L$64,11,0),10))</f>
        <v/>
      </c>
      <c r="L43" s="17" t="str">
        <f aca="false">IF(OR($J43="",$K43=""),"",$J43/$K43)</f>
        <v/>
      </c>
      <c r="M43" s="7"/>
      <c r="N43" s="7"/>
      <c r="O43" s="10"/>
      <c r="P43" s="7"/>
    </row>
    <row r="44" customFormat="false" ht="21.75" hidden="false" customHeight="true" outlineLevel="0" collapsed="false">
      <c r="B44" s="11"/>
      <c r="C44" s="11"/>
      <c r="D44" s="11" t="str">
        <f aca="false">IF($C44="","",IFERROR(VLOOKUP($C44,模型信息!$B$5:$C$24,2,0),"未登记"))</f>
        <v/>
      </c>
      <c r="E44" s="11"/>
      <c r="F44" s="11" t="str">
        <f aca="false">IF($E44="","",IFERROR(VLOOKUP($E44,题目信息!$B$5:$C$64,2,0),"未登记"))</f>
        <v/>
      </c>
      <c r="G44" s="16"/>
      <c r="H44" s="11"/>
      <c r="I44" s="11" t="str">
        <f aca="false">IF($E44="","",IFERROR(VLOOKUP($E44,题目信息!$B$5:$J$64,9,0),""))</f>
        <v/>
      </c>
      <c r="J44" s="12"/>
      <c r="K44" s="16" t="str">
        <f aca="false">IF($E44="","",IFERROR(VLOOKUP($E44,题目信息!$B$5:$L$64,11,0),10))</f>
        <v/>
      </c>
      <c r="L44" s="18" t="str">
        <f aca="false">IF(OR($J44="",$K44=""),"",$J44/$K44)</f>
        <v/>
      </c>
      <c r="M44" s="11"/>
      <c r="N44" s="11"/>
      <c r="O44" s="14"/>
      <c r="P44" s="11"/>
    </row>
    <row r="45" customFormat="false" ht="21.75" hidden="false" customHeight="true" outlineLevel="0" collapsed="false">
      <c r="B45" s="7"/>
      <c r="C45" s="7"/>
      <c r="D45" s="7" t="str">
        <f aca="false">IF($C45="","",IFERROR(VLOOKUP($C45,模型信息!$B$5:$C$24,2,0),"未登记"))</f>
        <v/>
      </c>
      <c r="E45" s="7"/>
      <c r="F45" s="7" t="str">
        <f aca="false">IF($E45="","",IFERROR(VLOOKUP($E45,题目信息!$B$5:$C$64,2,0),"未登记"))</f>
        <v/>
      </c>
      <c r="G45" s="15"/>
      <c r="H45" s="7"/>
      <c r="I45" s="7" t="str">
        <f aca="false">IF($E45="","",IFERROR(VLOOKUP($E45,题目信息!$B$5:$J$64,9,0),""))</f>
        <v/>
      </c>
      <c r="J45" s="8"/>
      <c r="K45" s="15" t="str">
        <f aca="false">IF($E45="","",IFERROR(VLOOKUP($E45,题目信息!$B$5:$L$64,11,0),10))</f>
        <v/>
      </c>
      <c r="L45" s="17" t="str">
        <f aca="false">IF(OR($J45="",$K45=""),"",$J45/$K45)</f>
        <v/>
      </c>
      <c r="M45" s="7"/>
      <c r="N45" s="7"/>
      <c r="O45" s="10"/>
      <c r="P45" s="7"/>
    </row>
    <row r="46" customFormat="false" ht="21.75" hidden="false" customHeight="true" outlineLevel="0" collapsed="false">
      <c r="B46" s="11"/>
      <c r="C46" s="11"/>
      <c r="D46" s="11" t="str">
        <f aca="false">IF($C46="","",IFERROR(VLOOKUP($C46,模型信息!$B$5:$C$24,2,0),"未登记"))</f>
        <v/>
      </c>
      <c r="E46" s="11"/>
      <c r="F46" s="11" t="str">
        <f aca="false">IF($E46="","",IFERROR(VLOOKUP($E46,题目信息!$B$5:$C$64,2,0),"未登记"))</f>
        <v/>
      </c>
      <c r="G46" s="16"/>
      <c r="H46" s="11"/>
      <c r="I46" s="11" t="str">
        <f aca="false">IF($E46="","",IFERROR(VLOOKUP($E46,题目信息!$B$5:$J$64,9,0),""))</f>
        <v/>
      </c>
      <c r="J46" s="12"/>
      <c r="K46" s="16" t="str">
        <f aca="false">IF($E46="","",IFERROR(VLOOKUP($E46,题目信息!$B$5:$L$64,11,0),10))</f>
        <v/>
      </c>
      <c r="L46" s="18" t="str">
        <f aca="false">IF(OR($J46="",$K46=""),"",$J46/$K46)</f>
        <v/>
      </c>
      <c r="M46" s="11"/>
      <c r="N46" s="11"/>
      <c r="O46" s="14"/>
      <c r="P46" s="11"/>
    </row>
    <row r="47" customFormat="false" ht="21.75" hidden="false" customHeight="true" outlineLevel="0" collapsed="false">
      <c r="B47" s="7"/>
      <c r="C47" s="7"/>
      <c r="D47" s="7" t="str">
        <f aca="false">IF($C47="","",IFERROR(VLOOKUP($C47,模型信息!$B$5:$C$24,2,0),"未登记"))</f>
        <v/>
      </c>
      <c r="E47" s="7"/>
      <c r="F47" s="7" t="str">
        <f aca="false">IF($E47="","",IFERROR(VLOOKUP($E47,题目信息!$B$5:$C$64,2,0),"未登记"))</f>
        <v/>
      </c>
      <c r="G47" s="15"/>
      <c r="H47" s="7"/>
      <c r="I47" s="7" t="str">
        <f aca="false">IF($E47="","",IFERROR(VLOOKUP($E47,题目信息!$B$5:$J$64,9,0),""))</f>
        <v/>
      </c>
      <c r="J47" s="8"/>
      <c r="K47" s="15" t="str">
        <f aca="false">IF($E47="","",IFERROR(VLOOKUP($E47,题目信息!$B$5:$L$64,11,0),10))</f>
        <v/>
      </c>
      <c r="L47" s="17" t="str">
        <f aca="false">IF(OR($J47="",$K47=""),"",$J47/$K47)</f>
        <v/>
      </c>
      <c r="M47" s="7"/>
      <c r="N47" s="7"/>
      <c r="O47" s="10"/>
      <c r="P47" s="7"/>
    </row>
    <row r="48" customFormat="false" ht="21.75" hidden="false" customHeight="true" outlineLevel="0" collapsed="false">
      <c r="B48" s="11"/>
      <c r="C48" s="11"/>
      <c r="D48" s="11" t="str">
        <f aca="false">IF($C48="","",IFERROR(VLOOKUP($C48,模型信息!$B$5:$C$24,2,0),"未登记"))</f>
        <v/>
      </c>
      <c r="E48" s="11"/>
      <c r="F48" s="11" t="str">
        <f aca="false">IF($E48="","",IFERROR(VLOOKUP($E48,题目信息!$B$5:$C$64,2,0),"未登记"))</f>
        <v/>
      </c>
      <c r="G48" s="16"/>
      <c r="H48" s="11"/>
      <c r="I48" s="11" t="str">
        <f aca="false">IF($E48="","",IFERROR(VLOOKUP($E48,题目信息!$B$5:$J$64,9,0),""))</f>
        <v/>
      </c>
      <c r="J48" s="12"/>
      <c r="K48" s="16" t="str">
        <f aca="false">IF($E48="","",IFERROR(VLOOKUP($E48,题目信息!$B$5:$L$64,11,0),10))</f>
        <v/>
      </c>
      <c r="L48" s="18" t="str">
        <f aca="false">IF(OR($J48="",$K48=""),"",$J48/$K48)</f>
        <v/>
      </c>
      <c r="M48" s="11"/>
      <c r="N48" s="11"/>
      <c r="O48" s="14"/>
      <c r="P48" s="11"/>
    </row>
    <row r="49" customFormat="false" ht="21.75" hidden="false" customHeight="true" outlineLevel="0" collapsed="false">
      <c r="B49" s="7"/>
      <c r="C49" s="7"/>
      <c r="D49" s="7" t="str">
        <f aca="false">IF($C49="","",IFERROR(VLOOKUP($C49,模型信息!$B$5:$C$24,2,0),"未登记"))</f>
        <v/>
      </c>
      <c r="E49" s="7"/>
      <c r="F49" s="7" t="str">
        <f aca="false">IF($E49="","",IFERROR(VLOOKUP($E49,题目信息!$B$5:$C$64,2,0),"未登记"))</f>
        <v/>
      </c>
      <c r="G49" s="15"/>
      <c r="H49" s="7"/>
      <c r="I49" s="7" t="str">
        <f aca="false">IF($E49="","",IFERROR(VLOOKUP($E49,题目信息!$B$5:$J$64,9,0),""))</f>
        <v/>
      </c>
      <c r="J49" s="8"/>
      <c r="K49" s="15" t="str">
        <f aca="false">IF($E49="","",IFERROR(VLOOKUP($E49,题目信息!$B$5:$L$64,11,0),10))</f>
        <v/>
      </c>
      <c r="L49" s="17" t="str">
        <f aca="false">IF(OR($J49="",$K49=""),"",$J49/$K49)</f>
        <v/>
      </c>
      <c r="M49" s="7"/>
      <c r="N49" s="7"/>
      <c r="O49" s="10"/>
      <c r="P49" s="7"/>
    </row>
    <row r="50" customFormat="false" ht="21.75" hidden="false" customHeight="true" outlineLevel="0" collapsed="false">
      <c r="B50" s="11"/>
      <c r="C50" s="11"/>
      <c r="D50" s="11" t="str">
        <f aca="false">IF($C50="","",IFERROR(VLOOKUP($C50,模型信息!$B$5:$C$24,2,0),"未登记"))</f>
        <v/>
      </c>
      <c r="E50" s="11"/>
      <c r="F50" s="11" t="str">
        <f aca="false">IF($E50="","",IFERROR(VLOOKUP($E50,题目信息!$B$5:$C$64,2,0),"未登记"))</f>
        <v/>
      </c>
      <c r="G50" s="16"/>
      <c r="H50" s="11"/>
      <c r="I50" s="11" t="str">
        <f aca="false">IF($E50="","",IFERROR(VLOOKUP($E50,题目信息!$B$5:$J$64,9,0),""))</f>
        <v/>
      </c>
      <c r="J50" s="12"/>
      <c r="K50" s="16" t="str">
        <f aca="false">IF($E50="","",IFERROR(VLOOKUP($E50,题目信息!$B$5:$L$64,11,0),10))</f>
        <v/>
      </c>
      <c r="L50" s="18" t="str">
        <f aca="false">IF(OR($J50="",$K50=""),"",$J50/$K50)</f>
        <v/>
      </c>
      <c r="M50" s="11"/>
      <c r="N50" s="11"/>
      <c r="O50" s="14"/>
      <c r="P50" s="11"/>
    </row>
    <row r="51" customFormat="false" ht="21.75" hidden="false" customHeight="true" outlineLevel="0" collapsed="false">
      <c r="B51" s="7"/>
      <c r="C51" s="7"/>
      <c r="D51" s="7" t="str">
        <f aca="false">IF($C51="","",IFERROR(VLOOKUP($C51,模型信息!$B$5:$C$24,2,0),"未登记"))</f>
        <v/>
      </c>
      <c r="E51" s="7"/>
      <c r="F51" s="7" t="str">
        <f aca="false">IF($E51="","",IFERROR(VLOOKUP($E51,题目信息!$B$5:$C$64,2,0),"未登记"))</f>
        <v/>
      </c>
      <c r="G51" s="15"/>
      <c r="H51" s="7"/>
      <c r="I51" s="7" t="str">
        <f aca="false">IF($E51="","",IFERROR(VLOOKUP($E51,题目信息!$B$5:$J$64,9,0),""))</f>
        <v/>
      </c>
      <c r="J51" s="8"/>
      <c r="K51" s="15" t="str">
        <f aca="false">IF($E51="","",IFERROR(VLOOKUP($E51,题目信息!$B$5:$L$64,11,0),10))</f>
        <v/>
      </c>
      <c r="L51" s="17" t="str">
        <f aca="false">IF(OR($J51="",$K51=""),"",$J51/$K51)</f>
        <v/>
      </c>
      <c r="M51" s="7"/>
      <c r="N51" s="7"/>
      <c r="O51" s="10"/>
      <c r="P51" s="7"/>
    </row>
    <row r="52" customFormat="false" ht="21.75" hidden="false" customHeight="true" outlineLevel="0" collapsed="false">
      <c r="B52" s="11"/>
      <c r="C52" s="11"/>
      <c r="D52" s="11" t="str">
        <f aca="false">IF($C52="","",IFERROR(VLOOKUP($C52,模型信息!$B$5:$C$24,2,0),"未登记"))</f>
        <v/>
      </c>
      <c r="E52" s="11"/>
      <c r="F52" s="11" t="str">
        <f aca="false">IF($E52="","",IFERROR(VLOOKUP($E52,题目信息!$B$5:$C$64,2,0),"未登记"))</f>
        <v/>
      </c>
      <c r="G52" s="16"/>
      <c r="H52" s="11"/>
      <c r="I52" s="11" t="str">
        <f aca="false">IF($E52="","",IFERROR(VLOOKUP($E52,题目信息!$B$5:$J$64,9,0),""))</f>
        <v/>
      </c>
      <c r="J52" s="12"/>
      <c r="K52" s="16" t="str">
        <f aca="false">IF($E52="","",IFERROR(VLOOKUP($E52,题目信息!$B$5:$L$64,11,0),10))</f>
        <v/>
      </c>
      <c r="L52" s="18" t="str">
        <f aca="false">IF(OR($J52="",$K52=""),"",$J52/$K52)</f>
        <v/>
      </c>
      <c r="M52" s="11"/>
      <c r="N52" s="11"/>
      <c r="O52" s="14"/>
      <c r="P52" s="11"/>
    </row>
    <row r="53" customFormat="false" ht="21.75" hidden="false" customHeight="true" outlineLevel="0" collapsed="false">
      <c r="B53" s="7"/>
      <c r="C53" s="7"/>
      <c r="D53" s="7" t="str">
        <f aca="false">IF($C53="","",IFERROR(VLOOKUP($C53,模型信息!$B$5:$C$24,2,0),"未登记"))</f>
        <v/>
      </c>
      <c r="E53" s="7"/>
      <c r="F53" s="7" t="str">
        <f aca="false">IF($E53="","",IFERROR(VLOOKUP($E53,题目信息!$B$5:$C$64,2,0),"未登记"))</f>
        <v/>
      </c>
      <c r="G53" s="15"/>
      <c r="H53" s="7"/>
      <c r="I53" s="7" t="str">
        <f aca="false">IF($E53="","",IFERROR(VLOOKUP($E53,题目信息!$B$5:$J$64,9,0),""))</f>
        <v/>
      </c>
      <c r="J53" s="8"/>
      <c r="K53" s="15" t="str">
        <f aca="false">IF($E53="","",IFERROR(VLOOKUP($E53,题目信息!$B$5:$L$64,11,0),10))</f>
        <v/>
      </c>
      <c r="L53" s="17" t="str">
        <f aca="false">IF(OR($J53="",$K53=""),"",$J53/$K53)</f>
        <v/>
      </c>
      <c r="M53" s="7"/>
      <c r="N53" s="7"/>
      <c r="O53" s="10"/>
      <c r="P53" s="7"/>
    </row>
    <row r="54" customFormat="false" ht="21.75" hidden="false" customHeight="true" outlineLevel="0" collapsed="false">
      <c r="B54" s="11"/>
      <c r="C54" s="11"/>
      <c r="D54" s="11" t="str">
        <f aca="false">IF($C54="","",IFERROR(VLOOKUP($C54,模型信息!$B$5:$C$24,2,0),"未登记"))</f>
        <v/>
      </c>
      <c r="E54" s="11"/>
      <c r="F54" s="11" t="str">
        <f aca="false">IF($E54="","",IFERROR(VLOOKUP($E54,题目信息!$B$5:$C$64,2,0),"未登记"))</f>
        <v/>
      </c>
      <c r="G54" s="16"/>
      <c r="H54" s="11"/>
      <c r="I54" s="11" t="str">
        <f aca="false">IF($E54="","",IFERROR(VLOOKUP($E54,题目信息!$B$5:$J$64,9,0),""))</f>
        <v/>
      </c>
      <c r="J54" s="12"/>
      <c r="K54" s="16" t="str">
        <f aca="false">IF($E54="","",IFERROR(VLOOKUP($E54,题目信息!$B$5:$L$64,11,0),10))</f>
        <v/>
      </c>
      <c r="L54" s="18" t="str">
        <f aca="false">IF(OR($J54="",$K54=""),"",$J54/$K54)</f>
        <v/>
      </c>
      <c r="M54" s="11"/>
      <c r="N54" s="11"/>
      <c r="O54" s="14"/>
      <c r="P54" s="11"/>
    </row>
    <row r="55" customFormat="false" ht="21.75" hidden="false" customHeight="true" outlineLevel="0" collapsed="false">
      <c r="B55" s="7"/>
      <c r="C55" s="7"/>
      <c r="D55" s="7" t="str">
        <f aca="false">IF($C55="","",IFERROR(VLOOKUP($C55,模型信息!$B$5:$C$24,2,0),"未登记"))</f>
        <v/>
      </c>
      <c r="E55" s="7"/>
      <c r="F55" s="7" t="str">
        <f aca="false">IF($E55="","",IFERROR(VLOOKUP($E55,题目信息!$B$5:$C$64,2,0),"未登记"))</f>
        <v/>
      </c>
      <c r="G55" s="15"/>
      <c r="H55" s="7"/>
      <c r="I55" s="7" t="str">
        <f aca="false">IF($E55="","",IFERROR(VLOOKUP($E55,题目信息!$B$5:$J$64,9,0),""))</f>
        <v/>
      </c>
      <c r="J55" s="8"/>
      <c r="K55" s="15" t="str">
        <f aca="false">IF($E55="","",IFERROR(VLOOKUP($E55,题目信息!$B$5:$L$64,11,0),10))</f>
        <v/>
      </c>
      <c r="L55" s="17" t="str">
        <f aca="false">IF(OR($J55="",$K55=""),"",$J55/$K55)</f>
        <v/>
      </c>
      <c r="M55" s="7"/>
      <c r="N55" s="7"/>
      <c r="O55" s="10"/>
      <c r="P55" s="7"/>
    </row>
    <row r="56" customFormat="false" ht="21.75" hidden="false" customHeight="true" outlineLevel="0" collapsed="false">
      <c r="B56" s="11"/>
      <c r="C56" s="11"/>
      <c r="D56" s="11" t="str">
        <f aca="false">IF($C56="","",IFERROR(VLOOKUP($C56,模型信息!$B$5:$C$24,2,0),"未登记"))</f>
        <v/>
      </c>
      <c r="E56" s="11"/>
      <c r="F56" s="11" t="str">
        <f aca="false">IF($E56="","",IFERROR(VLOOKUP($E56,题目信息!$B$5:$C$64,2,0),"未登记"))</f>
        <v/>
      </c>
      <c r="G56" s="16"/>
      <c r="H56" s="11"/>
      <c r="I56" s="11" t="str">
        <f aca="false">IF($E56="","",IFERROR(VLOOKUP($E56,题目信息!$B$5:$J$64,9,0),""))</f>
        <v/>
      </c>
      <c r="J56" s="12"/>
      <c r="K56" s="16" t="str">
        <f aca="false">IF($E56="","",IFERROR(VLOOKUP($E56,题目信息!$B$5:$L$64,11,0),10))</f>
        <v/>
      </c>
      <c r="L56" s="18" t="str">
        <f aca="false">IF(OR($J56="",$K56=""),"",$J56/$K56)</f>
        <v/>
      </c>
      <c r="M56" s="11"/>
      <c r="N56" s="11"/>
      <c r="O56" s="14"/>
      <c r="P56" s="11"/>
    </row>
    <row r="57" customFormat="false" ht="21.75" hidden="false" customHeight="true" outlineLevel="0" collapsed="false">
      <c r="B57" s="7"/>
      <c r="C57" s="7"/>
      <c r="D57" s="7" t="str">
        <f aca="false">IF($C57="","",IFERROR(VLOOKUP($C57,模型信息!$B$5:$C$24,2,0),"未登记"))</f>
        <v/>
      </c>
      <c r="E57" s="7"/>
      <c r="F57" s="7" t="str">
        <f aca="false">IF($E57="","",IFERROR(VLOOKUP($E57,题目信息!$B$5:$C$64,2,0),"未登记"))</f>
        <v/>
      </c>
      <c r="G57" s="15"/>
      <c r="H57" s="7"/>
      <c r="I57" s="7" t="str">
        <f aca="false">IF($E57="","",IFERROR(VLOOKUP($E57,题目信息!$B$5:$J$64,9,0),""))</f>
        <v/>
      </c>
      <c r="J57" s="8"/>
      <c r="K57" s="15" t="str">
        <f aca="false">IF($E57="","",IFERROR(VLOOKUP($E57,题目信息!$B$5:$L$64,11,0),10))</f>
        <v/>
      </c>
      <c r="L57" s="17" t="str">
        <f aca="false">IF(OR($J57="",$K57=""),"",$J57/$K57)</f>
        <v/>
      </c>
      <c r="M57" s="7"/>
      <c r="N57" s="7"/>
      <c r="O57" s="10"/>
      <c r="P57" s="7"/>
    </row>
    <row r="58" customFormat="false" ht="21.75" hidden="false" customHeight="true" outlineLevel="0" collapsed="false">
      <c r="B58" s="11"/>
      <c r="C58" s="11"/>
      <c r="D58" s="11" t="str">
        <f aca="false">IF($C58="","",IFERROR(VLOOKUP($C58,模型信息!$B$5:$C$24,2,0),"未登记"))</f>
        <v/>
      </c>
      <c r="E58" s="11"/>
      <c r="F58" s="11" t="str">
        <f aca="false">IF($E58="","",IFERROR(VLOOKUP($E58,题目信息!$B$5:$C$64,2,0),"未登记"))</f>
        <v/>
      </c>
      <c r="G58" s="16"/>
      <c r="H58" s="11"/>
      <c r="I58" s="11" t="str">
        <f aca="false">IF($E58="","",IFERROR(VLOOKUP($E58,题目信息!$B$5:$J$64,9,0),""))</f>
        <v/>
      </c>
      <c r="J58" s="12"/>
      <c r="K58" s="16" t="str">
        <f aca="false">IF($E58="","",IFERROR(VLOOKUP($E58,题目信息!$B$5:$L$64,11,0),10))</f>
        <v/>
      </c>
      <c r="L58" s="18" t="str">
        <f aca="false">IF(OR($J58="",$K58=""),"",$J58/$K58)</f>
        <v/>
      </c>
      <c r="M58" s="11"/>
      <c r="N58" s="11"/>
      <c r="O58" s="14"/>
      <c r="P58" s="11"/>
    </row>
    <row r="59" customFormat="false" ht="21.75" hidden="false" customHeight="true" outlineLevel="0" collapsed="false">
      <c r="B59" s="7"/>
      <c r="C59" s="7"/>
      <c r="D59" s="7" t="str">
        <f aca="false">IF($C59="","",IFERROR(VLOOKUP($C59,模型信息!$B$5:$C$24,2,0),"未登记"))</f>
        <v/>
      </c>
      <c r="E59" s="7"/>
      <c r="F59" s="7" t="str">
        <f aca="false">IF($E59="","",IFERROR(VLOOKUP($E59,题目信息!$B$5:$C$64,2,0),"未登记"))</f>
        <v/>
      </c>
      <c r="G59" s="15"/>
      <c r="H59" s="7"/>
      <c r="I59" s="7" t="str">
        <f aca="false">IF($E59="","",IFERROR(VLOOKUP($E59,题目信息!$B$5:$J$64,9,0),""))</f>
        <v/>
      </c>
      <c r="J59" s="8"/>
      <c r="K59" s="15" t="str">
        <f aca="false">IF($E59="","",IFERROR(VLOOKUP($E59,题目信息!$B$5:$L$64,11,0),10))</f>
        <v/>
      </c>
      <c r="L59" s="17" t="str">
        <f aca="false">IF(OR($J59="",$K59=""),"",$J59/$K59)</f>
        <v/>
      </c>
      <c r="M59" s="7"/>
      <c r="N59" s="7"/>
      <c r="O59" s="10"/>
      <c r="P59" s="7"/>
    </row>
    <row r="60" customFormat="false" ht="21.75" hidden="false" customHeight="true" outlineLevel="0" collapsed="false">
      <c r="B60" s="11"/>
      <c r="C60" s="11"/>
      <c r="D60" s="11" t="str">
        <f aca="false">IF($C60="","",IFERROR(VLOOKUP($C60,模型信息!$B$5:$C$24,2,0),"未登记"))</f>
        <v/>
      </c>
      <c r="E60" s="11"/>
      <c r="F60" s="11" t="str">
        <f aca="false">IF($E60="","",IFERROR(VLOOKUP($E60,题目信息!$B$5:$C$64,2,0),"未登记"))</f>
        <v/>
      </c>
      <c r="G60" s="16"/>
      <c r="H60" s="11"/>
      <c r="I60" s="11" t="str">
        <f aca="false">IF($E60="","",IFERROR(VLOOKUP($E60,题目信息!$B$5:$J$64,9,0),""))</f>
        <v/>
      </c>
      <c r="J60" s="12"/>
      <c r="K60" s="16" t="str">
        <f aca="false">IF($E60="","",IFERROR(VLOOKUP($E60,题目信息!$B$5:$L$64,11,0),10))</f>
        <v/>
      </c>
      <c r="L60" s="18" t="str">
        <f aca="false">IF(OR($J60="",$K60=""),"",$J60/$K60)</f>
        <v/>
      </c>
      <c r="M60" s="11"/>
      <c r="N60" s="11"/>
      <c r="O60" s="14"/>
      <c r="P60" s="11"/>
    </row>
    <row r="61" customFormat="false" ht="21.75" hidden="false" customHeight="true" outlineLevel="0" collapsed="false">
      <c r="B61" s="7"/>
      <c r="C61" s="7"/>
      <c r="D61" s="7" t="str">
        <f aca="false">IF($C61="","",IFERROR(VLOOKUP($C61,模型信息!$B$5:$C$24,2,0),"未登记"))</f>
        <v/>
      </c>
      <c r="E61" s="7"/>
      <c r="F61" s="7" t="str">
        <f aca="false">IF($E61="","",IFERROR(VLOOKUP($E61,题目信息!$B$5:$C$64,2,0),"未登记"))</f>
        <v/>
      </c>
      <c r="G61" s="15"/>
      <c r="H61" s="7"/>
      <c r="I61" s="7" t="str">
        <f aca="false">IF($E61="","",IFERROR(VLOOKUP($E61,题目信息!$B$5:$J$64,9,0),""))</f>
        <v/>
      </c>
      <c r="J61" s="8"/>
      <c r="K61" s="15" t="str">
        <f aca="false">IF($E61="","",IFERROR(VLOOKUP($E61,题目信息!$B$5:$L$64,11,0),10))</f>
        <v/>
      </c>
      <c r="L61" s="17" t="str">
        <f aca="false">IF(OR($J61="",$K61=""),"",$J61/$K61)</f>
        <v/>
      </c>
      <c r="M61" s="7"/>
      <c r="N61" s="7"/>
      <c r="O61" s="10"/>
      <c r="P61" s="7"/>
    </row>
    <row r="62" customFormat="false" ht="21.75" hidden="false" customHeight="true" outlineLevel="0" collapsed="false">
      <c r="B62" s="11"/>
      <c r="C62" s="11"/>
      <c r="D62" s="11" t="str">
        <f aca="false">IF($C62="","",IFERROR(VLOOKUP($C62,模型信息!$B$5:$C$24,2,0),"未登记"))</f>
        <v/>
      </c>
      <c r="E62" s="11"/>
      <c r="F62" s="11" t="str">
        <f aca="false">IF($E62="","",IFERROR(VLOOKUP($E62,题目信息!$B$5:$C$64,2,0),"未登记"))</f>
        <v/>
      </c>
      <c r="G62" s="16"/>
      <c r="H62" s="11"/>
      <c r="I62" s="11" t="str">
        <f aca="false">IF($E62="","",IFERROR(VLOOKUP($E62,题目信息!$B$5:$J$64,9,0),""))</f>
        <v/>
      </c>
      <c r="J62" s="12"/>
      <c r="K62" s="16" t="str">
        <f aca="false">IF($E62="","",IFERROR(VLOOKUP($E62,题目信息!$B$5:$L$64,11,0),10))</f>
        <v/>
      </c>
      <c r="L62" s="18" t="str">
        <f aca="false">IF(OR($J62="",$K62=""),"",$J62/$K62)</f>
        <v/>
      </c>
      <c r="M62" s="11"/>
      <c r="N62" s="11"/>
      <c r="O62" s="14"/>
      <c r="P62" s="11"/>
    </row>
    <row r="63" customFormat="false" ht="21.75" hidden="false" customHeight="true" outlineLevel="0" collapsed="false">
      <c r="B63" s="7"/>
      <c r="C63" s="7"/>
      <c r="D63" s="7" t="str">
        <f aca="false">IF($C63="","",IFERROR(VLOOKUP($C63,模型信息!$B$5:$C$24,2,0),"未登记"))</f>
        <v/>
      </c>
      <c r="E63" s="7"/>
      <c r="F63" s="7" t="str">
        <f aca="false">IF($E63="","",IFERROR(VLOOKUP($E63,题目信息!$B$5:$C$64,2,0),"未登记"))</f>
        <v/>
      </c>
      <c r="G63" s="15"/>
      <c r="H63" s="7"/>
      <c r="I63" s="7" t="str">
        <f aca="false">IF($E63="","",IFERROR(VLOOKUP($E63,题目信息!$B$5:$J$64,9,0),""))</f>
        <v/>
      </c>
      <c r="J63" s="8"/>
      <c r="K63" s="15" t="str">
        <f aca="false">IF($E63="","",IFERROR(VLOOKUP($E63,题目信息!$B$5:$L$64,11,0),10))</f>
        <v/>
      </c>
      <c r="L63" s="17" t="str">
        <f aca="false">IF(OR($J63="",$K63=""),"",$J63/$K63)</f>
        <v/>
      </c>
      <c r="M63" s="7"/>
      <c r="N63" s="7"/>
      <c r="O63" s="10"/>
      <c r="P63" s="7"/>
    </row>
    <row r="64" customFormat="false" ht="21.75" hidden="false" customHeight="true" outlineLevel="0" collapsed="false">
      <c r="B64" s="11"/>
      <c r="C64" s="11"/>
      <c r="D64" s="11" t="str">
        <f aca="false">IF($C64="","",IFERROR(VLOOKUP($C64,模型信息!$B$5:$C$24,2,0),"未登记"))</f>
        <v/>
      </c>
      <c r="E64" s="11"/>
      <c r="F64" s="11" t="str">
        <f aca="false">IF($E64="","",IFERROR(VLOOKUP($E64,题目信息!$B$5:$C$64,2,0),"未登记"))</f>
        <v/>
      </c>
      <c r="G64" s="16"/>
      <c r="H64" s="11"/>
      <c r="I64" s="11" t="str">
        <f aca="false">IF($E64="","",IFERROR(VLOOKUP($E64,题目信息!$B$5:$J$64,9,0),""))</f>
        <v/>
      </c>
      <c r="J64" s="12"/>
      <c r="K64" s="16" t="str">
        <f aca="false">IF($E64="","",IFERROR(VLOOKUP($E64,题目信息!$B$5:$L$64,11,0),10))</f>
        <v/>
      </c>
      <c r="L64" s="18" t="str">
        <f aca="false">IF(OR($J64="",$K64=""),"",$J64/$K64)</f>
        <v/>
      </c>
      <c r="M64" s="11"/>
      <c r="N64" s="11"/>
      <c r="O64" s="14"/>
      <c r="P64" s="11"/>
    </row>
    <row r="65" customFormat="false" ht="21.75" hidden="false" customHeight="true" outlineLevel="0" collapsed="false">
      <c r="B65" s="7"/>
      <c r="C65" s="7"/>
      <c r="D65" s="7" t="str">
        <f aca="false">IF($C65="","",IFERROR(VLOOKUP($C65,模型信息!$B$5:$C$24,2,0),"未登记"))</f>
        <v/>
      </c>
      <c r="E65" s="7"/>
      <c r="F65" s="7" t="str">
        <f aca="false">IF($E65="","",IFERROR(VLOOKUP($E65,题目信息!$B$5:$C$64,2,0),"未登记"))</f>
        <v/>
      </c>
      <c r="G65" s="15"/>
      <c r="H65" s="7"/>
      <c r="I65" s="7" t="str">
        <f aca="false">IF($E65="","",IFERROR(VLOOKUP($E65,题目信息!$B$5:$J$64,9,0),""))</f>
        <v/>
      </c>
      <c r="J65" s="8"/>
      <c r="K65" s="15" t="str">
        <f aca="false">IF($E65="","",IFERROR(VLOOKUP($E65,题目信息!$B$5:$L$64,11,0),10))</f>
        <v/>
      </c>
      <c r="L65" s="17" t="str">
        <f aca="false">IF(OR($J65="",$K65=""),"",$J65/$K65)</f>
        <v/>
      </c>
      <c r="M65" s="7"/>
      <c r="N65" s="7"/>
      <c r="O65" s="10"/>
      <c r="P65" s="7"/>
    </row>
    <row r="66" customFormat="false" ht="21.75" hidden="false" customHeight="true" outlineLevel="0" collapsed="false">
      <c r="B66" s="11"/>
      <c r="C66" s="11"/>
      <c r="D66" s="11" t="str">
        <f aca="false">IF($C66="","",IFERROR(VLOOKUP($C66,模型信息!$B$5:$C$24,2,0),"未登记"))</f>
        <v/>
      </c>
      <c r="E66" s="11"/>
      <c r="F66" s="11" t="str">
        <f aca="false">IF($E66="","",IFERROR(VLOOKUP($E66,题目信息!$B$5:$C$64,2,0),"未登记"))</f>
        <v/>
      </c>
      <c r="G66" s="16"/>
      <c r="H66" s="11"/>
      <c r="I66" s="11" t="str">
        <f aca="false">IF($E66="","",IFERROR(VLOOKUP($E66,题目信息!$B$5:$J$64,9,0),""))</f>
        <v/>
      </c>
      <c r="J66" s="12"/>
      <c r="K66" s="16" t="str">
        <f aca="false">IF($E66="","",IFERROR(VLOOKUP($E66,题目信息!$B$5:$L$64,11,0),10))</f>
        <v/>
      </c>
      <c r="L66" s="18" t="str">
        <f aca="false">IF(OR($J66="",$K66=""),"",$J66/$K66)</f>
        <v/>
      </c>
      <c r="M66" s="11"/>
      <c r="N66" s="11"/>
      <c r="O66" s="14"/>
      <c r="P66" s="11"/>
    </row>
    <row r="67" customFormat="false" ht="21.75" hidden="false" customHeight="true" outlineLevel="0" collapsed="false">
      <c r="B67" s="7"/>
      <c r="C67" s="7"/>
      <c r="D67" s="7" t="str">
        <f aca="false">IF($C67="","",IFERROR(VLOOKUP($C67,模型信息!$B$5:$C$24,2,0),"未登记"))</f>
        <v/>
      </c>
      <c r="E67" s="7"/>
      <c r="F67" s="7" t="str">
        <f aca="false">IF($E67="","",IFERROR(VLOOKUP($E67,题目信息!$B$5:$C$64,2,0),"未登记"))</f>
        <v/>
      </c>
      <c r="G67" s="15"/>
      <c r="H67" s="7"/>
      <c r="I67" s="7" t="str">
        <f aca="false">IF($E67="","",IFERROR(VLOOKUP($E67,题目信息!$B$5:$J$64,9,0),""))</f>
        <v/>
      </c>
      <c r="J67" s="8"/>
      <c r="K67" s="15" t="str">
        <f aca="false">IF($E67="","",IFERROR(VLOOKUP($E67,题目信息!$B$5:$L$64,11,0),10))</f>
        <v/>
      </c>
      <c r="L67" s="17" t="str">
        <f aca="false">IF(OR($J67="",$K67=""),"",$J67/$K67)</f>
        <v/>
      </c>
      <c r="M67" s="7"/>
      <c r="N67" s="7"/>
      <c r="O67" s="10"/>
      <c r="P67" s="7"/>
    </row>
    <row r="68" customFormat="false" ht="21.75" hidden="false" customHeight="true" outlineLevel="0" collapsed="false">
      <c r="B68" s="11"/>
      <c r="C68" s="11"/>
      <c r="D68" s="11" t="str">
        <f aca="false">IF($C68="","",IFERROR(VLOOKUP($C68,模型信息!$B$5:$C$24,2,0),"未登记"))</f>
        <v/>
      </c>
      <c r="E68" s="11"/>
      <c r="F68" s="11" t="str">
        <f aca="false">IF($E68="","",IFERROR(VLOOKUP($E68,题目信息!$B$5:$C$64,2,0),"未登记"))</f>
        <v/>
      </c>
      <c r="G68" s="16"/>
      <c r="H68" s="11"/>
      <c r="I68" s="11" t="str">
        <f aca="false">IF($E68="","",IFERROR(VLOOKUP($E68,题目信息!$B$5:$J$64,9,0),""))</f>
        <v/>
      </c>
      <c r="J68" s="12"/>
      <c r="K68" s="16" t="str">
        <f aca="false">IF($E68="","",IFERROR(VLOOKUP($E68,题目信息!$B$5:$L$64,11,0),10))</f>
        <v/>
      </c>
      <c r="L68" s="18" t="str">
        <f aca="false">IF(OR($J68="",$K68=""),"",$J68/$K68)</f>
        <v/>
      </c>
      <c r="M68" s="11"/>
      <c r="N68" s="11"/>
      <c r="O68" s="14"/>
      <c r="P68" s="11"/>
    </row>
    <row r="69" customFormat="false" ht="21.75" hidden="false" customHeight="true" outlineLevel="0" collapsed="false">
      <c r="B69" s="7"/>
      <c r="C69" s="7"/>
      <c r="D69" s="7" t="str">
        <f aca="false">IF($C69="","",IFERROR(VLOOKUP($C69,模型信息!$B$5:$C$24,2,0),"未登记"))</f>
        <v/>
      </c>
      <c r="E69" s="7"/>
      <c r="F69" s="7" t="str">
        <f aca="false">IF($E69="","",IFERROR(VLOOKUP($E69,题目信息!$B$5:$C$64,2,0),"未登记"))</f>
        <v/>
      </c>
      <c r="G69" s="15"/>
      <c r="H69" s="7"/>
      <c r="I69" s="7" t="str">
        <f aca="false">IF($E69="","",IFERROR(VLOOKUP($E69,题目信息!$B$5:$J$64,9,0),""))</f>
        <v/>
      </c>
      <c r="J69" s="8"/>
      <c r="K69" s="15" t="str">
        <f aca="false">IF($E69="","",IFERROR(VLOOKUP($E69,题目信息!$B$5:$L$64,11,0),10))</f>
        <v/>
      </c>
      <c r="L69" s="17" t="str">
        <f aca="false">IF(OR($J69="",$K69=""),"",$J69/$K69)</f>
        <v/>
      </c>
      <c r="M69" s="7"/>
      <c r="N69" s="7"/>
      <c r="O69" s="10"/>
      <c r="P69" s="7"/>
    </row>
    <row r="70" customFormat="false" ht="21.75" hidden="false" customHeight="true" outlineLevel="0" collapsed="false">
      <c r="B70" s="11"/>
      <c r="C70" s="11"/>
      <c r="D70" s="11" t="str">
        <f aca="false">IF($C70="","",IFERROR(VLOOKUP($C70,模型信息!$B$5:$C$24,2,0),"未登记"))</f>
        <v/>
      </c>
      <c r="E70" s="11"/>
      <c r="F70" s="11" t="str">
        <f aca="false">IF($E70="","",IFERROR(VLOOKUP($E70,题目信息!$B$5:$C$64,2,0),"未登记"))</f>
        <v/>
      </c>
      <c r="G70" s="16"/>
      <c r="H70" s="11"/>
      <c r="I70" s="11" t="str">
        <f aca="false">IF($E70="","",IFERROR(VLOOKUP($E70,题目信息!$B$5:$J$64,9,0),""))</f>
        <v/>
      </c>
      <c r="J70" s="12"/>
      <c r="K70" s="16" t="str">
        <f aca="false">IF($E70="","",IFERROR(VLOOKUP($E70,题目信息!$B$5:$L$64,11,0),10))</f>
        <v/>
      </c>
      <c r="L70" s="18" t="str">
        <f aca="false">IF(OR($J70="",$K70=""),"",$J70/$K70)</f>
        <v/>
      </c>
      <c r="M70" s="11"/>
      <c r="N70" s="11"/>
      <c r="O70" s="14"/>
      <c r="P70" s="11"/>
    </row>
    <row r="71" customFormat="false" ht="21.75" hidden="false" customHeight="true" outlineLevel="0" collapsed="false">
      <c r="B71" s="7"/>
      <c r="C71" s="7"/>
      <c r="D71" s="7" t="str">
        <f aca="false">IF($C71="","",IFERROR(VLOOKUP($C71,模型信息!$B$5:$C$24,2,0),"未登记"))</f>
        <v/>
      </c>
      <c r="E71" s="7"/>
      <c r="F71" s="7" t="str">
        <f aca="false">IF($E71="","",IFERROR(VLOOKUP($E71,题目信息!$B$5:$C$64,2,0),"未登记"))</f>
        <v/>
      </c>
      <c r="G71" s="15"/>
      <c r="H71" s="7"/>
      <c r="I71" s="7" t="str">
        <f aca="false">IF($E71="","",IFERROR(VLOOKUP($E71,题目信息!$B$5:$J$64,9,0),""))</f>
        <v/>
      </c>
      <c r="J71" s="8"/>
      <c r="K71" s="15" t="str">
        <f aca="false">IF($E71="","",IFERROR(VLOOKUP($E71,题目信息!$B$5:$L$64,11,0),10))</f>
        <v/>
      </c>
      <c r="L71" s="17" t="str">
        <f aca="false">IF(OR($J71="",$K71=""),"",$J71/$K71)</f>
        <v/>
      </c>
      <c r="M71" s="7"/>
      <c r="N71" s="7"/>
      <c r="O71" s="10"/>
      <c r="P71" s="7"/>
    </row>
    <row r="72" customFormat="false" ht="21.75" hidden="false" customHeight="true" outlineLevel="0" collapsed="false">
      <c r="B72" s="11"/>
      <c r="C72" s="11"/>
      <c r="D72" s="11" t="str">
        <f aca="false">IF($C72="","",IFERROR(VLOOKUP($C72,模型信息!$B$5:$C$24,2,0),"未登记"))</f>
        <v/>
      </c>
      <c r="E72" s="11"/>
      <c r="F72" s="11" t="str">
        <f aca="false">IF($E72="","",IFERROR(VLOOKUP($E72,题目信息!$B$5:$C$64,2,0),"未登记"))</f>
        <v/>
      </c>
      <c r="G72" s="16"/>
      <c r="H72" s="11"/>
      <c r="I72" s="11" t="str">
        <f aca="false">IF($E72="","",IFERROR(VLOOKUP($E72,题目信息!$B$5:$J$64,9,0),""))</f>
        <v/>
      </c>
      <c r="J72" s="12"/>
      <c r="K72" s="16" t="str">
        <f aca="false">IF($E72="","",IFERROR(VLOOKUP($E72,题目信息!$B$5:$L$64,11,0),10))</f>
        <v/>
      </c>
      <c r="L72" s="18" t="str">
        <f aca="false">IF(OR($J72="",$K72=""),"",$J72/$K72)</f>
        <v/>
      </c>
      <c r="M72" s="11"/>
      <c r="N72" s="11"/>
      <c r="O72" s="14"/>
      <c r="P72" s="11"/>
    </row>
    <row r="73" customFormat="false" ht="21.75" hidden="false" customHeight="true" outlineLevel="0" collapsed="false">
      <c r="B73" s="7"/>
      <c r="C73" s="7"/>
      <c r="D73" s="7" t="str">
        <f aca="false">IF($C73="","",IFERROR(VLOOKUP($C73,模型信息!$B$5:$C$24,2,0),"未登记"))</f>
        <v/>
      </c>
      <c r="E73" s="7"/>
      <c r="F73" s="7" t="str">
        <f aca="false">IF($E73="","",IFERROR(VLOOKUP($E73,题目信息!$B$5:$C$64,2,0),"未登记"))</f>
        <v/>
      </c>
      <c r="G73" s="15"/>
      <c r="H73" s="7"/>
      <c r="I73" s="7" t="str">
        <f aca="false">IF($E73="","",IFERROR(VLOOKUP($E73,题目信息!$B$5:$J$64,9,0),""))</f>
        <v/>
      </c>
      <c r="J73" s="8"/>
      <c r="K73" s="15" t="str">
        <f aca="false">IF($E73="","",IFERROR(VLOOKUP($E73,题目信息!$B$5:$L$64,11,0),10))</f>
        <v/>
      </c>
      <c r="L73" s="17" t="str">
        <f aca="false">IF(OR($J73="",$K73=""),"",$J73/$K73)</f>
        <v/>
      </c>
      <c r="M73" s="7"/>
      <c r="N73" s="7"/>
      <c r="O73" s="10"/>
      <c r="P73" s="7"/>
    </row>
    <row r="74" customFormat="false" ht="21.75" hidden="false" customHeight="true" outlineLevel="0" collapsed="false">
      <c r="B74" s="11"/>
      <c r="C74" s="11"/>
      <c r="D74" s="11" t="str">
        <f aca="false">IF($C74="","",IFERROR(VLOOKUP($C74,模型信息!$B$5:$C$24,2,0),"未登记"))</f>
        <v/>
      </c>
      <c r="E74" s="11"/>
      <c r="F74" s="11" t="str">
        <f aca="false">IF($E74="","",IFERROR(VLOOKUP($E74,题目信息!$B$5:$C$64,2,0),"未登记"))</f>
        <v/>
      </c>
      <c r="G74" s="16"/>
      <c r="H74" s="11"/>
      <c r="I74" s="11" t="str">
        <f aca="false">IF($E74="","",IFERROR(VLOOKUP($E74,题目信息!$B$5:$J$64,9,0),""))</f>
        <v/>
      </c>
      <c r="J74" s="12"/>
      <c r="K74" s="16" t="str">
        <f aca="false">IF($E74="","",IFERROR(VLOOKUP($E74,题目信息!$B$5:$L$64,11,0),10))</f>
        <v/>
      </c>
      <c r="L74" s="18" t="str">
        <f aca="false">IF(OR($J74="",$K74=""),"",$J74/$K74)</f>
        <v/>
      </c>
      <c r="M74" s="11"/>
      <c r="N74" s="11"/>
      <c r="O74" s="14"/>
      <c r="P74" s="11"/>
    </row>
    <row r="75" customFormat="false" ht="21.75" hidden="false" customHeight="true" outlineLevel="0" collapsed="false">
      <c r="B75" s="7"/>
      <c r="C75" s="7"/>
      <c r="D75" s="7" t="str">
        <f aca="false">IF($C75="","",IFERROR(VLOOKUP($C75,模型信息!$B$5:$C$24,2,0),"未登记"))</f>
        <v/>
      </c>
      <c r="E75" s="7"/>
      <c r="F75" s="7" t="str">
        <f aca="false">IF($E75="","",IFERROR(VLOOKUP($E75,题目信息!$B$5:$C$64,2,0),"未登记"))</f>
        <v/>
      </c>
      <c r="G75" s="15"/>
      <c r="H75" s="7"/>
      <c r="I75" s="7" t="str">
        <f aca="false">IF($E75="","",IFERROR(VLOOKUP($E75,题目信息!$B$5:$J$64,9,0),""))</f>
        <v/>
      </c>
      <c r="J75" s="8"/>
      <c r="K75" s="15" t="str">
        <f aca="false">IF($E75="","",IFERROR(VLOOKUP($E75,题目信息!$B$5:$L$64,11,0),10))</f>
        <v/>
      </c>
      <c r="L75" s="17" t="str">
        <f aca="false">IF(OR($J75="",$K75=""),"",$J75/$K75)</f>
        <v/>
      </c>
      <c r="M75" s="7"/>
      <c r="N75" s="7"/>
      <c r="O75" s="10"/>
      <c r="P75" s="7"/>
    </row>
    <row r="76" customFormat="false" ht="21.75" hidden="false" customHeight="true" outlineLevel="0" collapsed="false">
      <c r="B76" s="11"/>
      <c r="C76" s="11"/>
      <c r="D76" s="11" t="str">
        <f aca="false">IF($C76="","",IFERROR(VLOOKUP($C76,模型信息!$B$5:$C$24,2,0),"未登记"))</f>
        <v/>
      </c>
      <c r="E76" s="11"/>
      <c r="F76" s="11" t="str">
        <f aca="false">IF($E76="","",IFERROR(VLOOKUP($E76,题目信息!$B$5:$C$64,2,0),"未登记"))</f>
        <v/>
      </c>
      <c r="G76" s="16"/>
      <c r="H76" s="11"/>
      <c r="I76" s="11" t="str">
        <f aca="false">IF($E76="","",IFERROR(VLOOKUP($E76,题目信息!$B$5:$J$64,9,0),""))</f>
        <v/>
      </c>
      <c r="J76" s="12"/>
      <c r="K76" s="16" t="str">
        <f aca="false">IF($E76="","",IFERROR(VLOOKUP($E76,题目信息!$B$5:$L$64,11,0),10))</f>
        <v/>
      </c>
      <c r="L76" s="18" t="str">
        <f aca="false">IF(OR($J76="",$K76=""),"",$J76/$K76)</f>
        <v/>
      </c>
      <c r="M76" s="11"/>
      <c r="N76" s="11"/>
      <c r="O76" s="14"/>
      <c r="P76" s="11"/>
    </row>
    <row r="77" customFormat="false" ht="21.75" hidden="false" customHeight="true" outlineLevel="0" collapsed="false">
      <c r="B77" s="7"/>
      <c r="C77" s="7"/>
      <c r="D77" s="7" t="str">
        <f aca="false">IF($C77="","",IFERROR(VLOOKUP($C77,模型信息!$B$5:$C$24,2,0),"未登记"))</f>
        <v/>
      </c>
      <c r="E77" s="7"/>
      <c r="F77" s="7" t="str">
        <f aca="false">IF($E77="","",IFERROR(VLOOKUP($E77,题目信息!$B$5:$C$64,2,0),"未登记"))</f>
        <v/>
      </c>
      <c r="G77" s="15"/>
      <c r="H77" s="7"/>
      <c r="I77" s="7" t="str">
        <f aca="false">IF($E77="","",IFERROR(VLOOKUP($E77,题目信息!$B$5:$J$64,9,0),""))</f>
        <v/>
      </c>
      <c r="J77" s="8"/>
      <c r="K77" s="15" t="str">
        <f aca="false">IF($E77="","",IFERROR(VLOOKUP($E77,题目信息!$B$5:$L$64,11,0),10))</f>
        <v/>
      </c>
      <c r="L77" s="17" t="str">
        <f aca="false">IF(OR($J77="",$K77=""),"",$J77/$K77)</f>
        <v/>
      </c>
      <c r="M77" s="7"/>
      <c r="N77" s="7"/>
      <c r="O77" s="10"/>
      <c r="P77" s="7"/>
    </row>
    <row r="78" customFormat="false" ht="21.75" hidden="false" customHeight="true" outlineLevel="0" collapsed="false">
      <c r="B78" s="11"/>
      <c r="C78" s="11"/>
      <c r="D78" s="11" t="str">
        <f aca="false">IF($C78="","",IFERROR(VLOOKUP($C78,模型信息!$B$5:$C$24,2,0),"未登记"))</f>
        <v/>
      </c>
      <c r="E78" s="11"/>
      <c r="F78" s="11" t="str">
        <f aca="false">IF($E78="","",IFERROR(VLOOKUP($E78,题目信息!$B$5:$C$64,2,0),"未登记"))</f>
        <v/>
      </c>
      <c r="G78" s="16"/>
      <c r="H78" s="11"/>
      <c r="I78" s="11" t="str">
        <f aca="false">IF($E78="","",IFERROR(VLOOKUP($E78,题目信息!$B$5:$J$64,9,0),""))</f>
        <v/>
      </c>
      <c r="J78" s="12"/>
      <c r="K78" s="16" t="str">
        <f aca="false">IF($E78="","",IFERROR(VLOOKUP($E78,题目信息!$B$5:$L$64,11,0),10))</f>
        <v/>
      </c>
      <c r="L78" s="18" t="str">
        <f aca="false">IF(OR($J78="",$K78=""),"",$J78/$K78)</f>
        <v/>
      </c>
      <c r="M78" s="11"/>
      <c r="N78" s="11"/>
      <c r="O78" s="14"/>
      <c r="P78" s="11"/>
    </row>
    <row r="79" customFormat="false" ht="21.75" hidden="false" customHeight="true" outlineLevel="0" collapsed="false">
      <c r="B79" s="7"/>
      <c r="C79" s="7"/>
      <c r="D79" s="7" t="str">
        <f aca="false">IF($C79="","",IFERROR(VLOOKUP($C79,模型信息!$B$5:$C$24,2,0),"未登记"))</f>
        <v/>
      </c>
      <c r="E79" s="7"/>
      <c r="F79" s="7" t="str">
        <f aca="false">IF($E79="","",IFERROR(VLOOKUP($E79,题目信息!$B$5:$C$64,2,0),"未登记"))</f>
        <v/>
      </c>
      <c r="G79" s="15"/>
      <c r="H79" s="7"/>
      <c r="I79" s="7" t="str">
        <f aca="false">IF($E79="","",IFERROR(VLOOKUP($E79,题目信息!$B$5:$J$64,9,0),""))</f>
        <v/>
      </c>
      <c r="J79" s="8"/>
      <c r="K79" s="15" t="str">
        <f aca="false">IF($E79="","",IFERROR(VLOOKUP($E79,题目信息!$B$5:$L$64,11,0),10))</f>
        <v/>
      </c>
      <c r="L79" s="17" t="str">
        <f aca="false">IF(OR($J79="",$K79=""),"",$J79/$K79)</f>
        <v/>
      </c>
      <c r="M79" s="7"/>
      <c r="N79" s="7"/>
      <c r="O79" s="10"/>
      <c r="P79" s="7"/>
    </row>
    <row r="80" customFormat="false" ht="21.75" hidden="false" customHeight="true" outlineLevel="0" collapsed="false">
      <c r="B80" s="11"/>
      <c r="C80" s="11"/>
      <c r="D80" s="11" t="str">
        <f aca="false">IF($C80="","",IFERROR(VLOOKUP($C80,模型信息!$B$5:$C$24,2,0),"未登记"))</f>
        <v/>
      </c>
      <c r="E80" s="11"/>
      <c r="F80" s="11" t="str">
        <f aca="false">IF($E80="","",IFERROR(VLOOKUP($E80,题目信息!$B$5:$C$64,2,0),"未登记"))</f>
        <v/>
      </c>
      <c r="G80" s="16"/>
      <c r="H80" s="11"/>
      <c r="I80" s="11" t="str">
        <f aca="false">IF($E80="","",IFERROR(VLOOKUP($E80,题目信息!$B$5:$J$64,9,0),""))</f>
        <v/>
      </c>
      <c r="J80" s="12"/>
      <c r="K80" s="16" t="str">
        <f aca="false">IF($E80="","",IFERROR(VLOOKUP($E80,题目信息!$B$5:$L$64,11,0),10))</f>
        <v/>
      </c>
      <c r="L80" s="18" t="str">
        <f aca="false">IF(OR($J80="",$K80=""),"",$J80/$K80)</f>
        <v/>
      </c>
      <c r="M80" s="11"/>
      <c r="N80" s="11"/>
      <c r="O80" s="14"/>
      <c r="P80" s="11"/>
    </row>
    <row r="81" customFormat="false" ht="21.75" hidden="false" customHeight="true" outlineLevel="0" collapsed="false">
      <c r="B81" s="7"/>
      <c r="C81" s="7"/>
      <c r="D81" s="7" t="str">
        <f aca="false">IF($C81="","",IFERROR(VLOOKUP($C81,模型信息!$B$5:$C$24,2,0),"未登记"))</f>
        <v/>
      </c>
      <c r="E81" s="7"/>
      <c r="F81" s="7" t="str">
        <f aca="false">IF($E81="","",IFERROR(VLOOKUP($E81,题目信息!$B$5:$C$64,2,0),"未登记"))</f>
        <v/>
      </c>
      <c r="G81" s="15"/>
      <c r="H81" s="7"/>
      <c r="I81" s="7" t="str">
        <f aca="false">IF($E81="","",IFERROR(VLOOKUP($E81,题目信息!$B$5:$J$64,9,0),""))</f>
        <v/>
      </c>
      <c r="J81" s="8"/>
      <c r="K81" s="15" t="str">
        <f aca="false">IF($E81="","",IFERROR(VLOOKUP($E81,题目信息!$B$5:$L$64,11,0),10))</f>
        <v/>
      </c>
      <c r="L81" s="17" t="str">
        <f aca="false">IF(OR($J81="",$K81=""),"",$J81/$K81)</f>
        <v/>
      </c>
      <c r="M81" s="7"/>
      <c r="N81" s="7"/>
      <c r="O81" s="10"/>
      <c r="P81" s="7"/>
    </row>
    <row r="82" customFormat="false" ht="21.75" hidden="false" customHeight="true" outlineLevel="0" collapsed="false">
      <c r="B82" s="11"/>
      <c r="C82" s="11"/>
      <c r="D82" s="11" t="str">
        <f aca="false">IF($C82="","",IFERROR(VLOOKUP($C82,模型信息!$B$5:$C$24,2,0),"未登记"))</f>
        <v/>
      </c>
      <c r="E82" s="11"/>
      <c r="F82" s="11" t="str">
        <f aca="false">IF($E82="","",IFERROR(VLOOKUP($E82,题目信息!$B$5:$C$64,2,0),"未登记"))</f>
        <v/>
      </c>
      <c r="G82" s="16"/>
      <c r="H82" s="11"/>
      <c r="I82" s="11" t="str">
        <f aca="false">IF($E82="","",IFERROR(VLOOKUP($E82,题目信息!$B$5:$J$64,9,0),""))</f>
        <v/>
      </c>
      <c r="J82" s="12"/>
      <c r="K82" s="16" t="str">
        <f aca="false">IF($E82="","",IFERROR(VLOOKUP($E82,题目信息!$B$5:$L$64,11,0),10))</f>
        <v/>
      </c>
      <c r="L82" s="18" t="str">
        <f aca="false">IF(OR($J82="",$K82=""),"",$J82/$K82)</f>
        <v/>
      </c>
      <c r="M82" s="11"/>
      <c r="N82" s="11"/>
      <c r="O82" s="14"/>
      <c r="P82" s="11"/>
    </row>
    <row r="83" customFormat="false" ht="21.75" hidden="false" customHeight="true" outlineLevel="0" collapsed="false">
      <c r="B83" s="7"/>
      <c r="C83" s="7"/>
      <c r="D83" s="7" t="str">
        <f aca="false">IF($C83="","",IFERROR(VLOOKUP($C83,模型信息!$B$5:$C$24,2,0),"未登记"))</f>
        <v/>
      </c>
      <c r="E83" s="7"/>
      <c r="F83" s="7" t="str">
        <f aca="false">IF($E83="","",IFERROR(VLOOKUP($E83,题目信息!$B$5:$C$64,2,0),"未登记"))</f>
        <v/>
      </c>
      <c r="G83" s="15"/>
      <c r="H83" s="7"/>
      <c r="I83" s="7" t="str">
        <f aca="false">IF($E83="","",IFERROR(VLOOKUP($E83,题目信息!$B$5:$J$64,9,0),""))</f>
        <v/>
      </c>
      <c r="J83" s="8"/>
      <c r="K83" s="15" t="str">
        <f aca="false">IF($E83="","",IFERROR(VLOOKUP($E83,题目信息!$B$5:$L$64,11,0),10))</f>
        <v/>
      </c>
      <c r="L83" s="17" t="str">
        <f aca="false">IF(OR($J83="",$K83=""),"",$J83/$K83)</f>
        <v/>
      </c>
      <c r="M83" s="7"/>
      <c r="N83" s="7"/>
      <c r="O83" s="10"/>
      <c r="P83" s="7"/>
    </row>
    <row r="84" customFormat="false" ht="21.75" hidden="false" customHeight="true" outlineLevel="0" collapsed="false">
      <c r="B84" s="11"/>
      <c r="C84" s="11"/>
      <c r="D84" s="11" t="str">
        <f aca="false">IF($C84="","",IFERROR(VLOOKUP($C84,模型信息!$B$5:$C$24,2,0),"未登记"))</f>
        <v/>
      </c>
      <c r="E84" s="11"/>
      <c r="F84" s="11" t="str">
        <f aca="false">IF($E84="","",IFERROR(VLOOKUP($E84,题目信息!$B$5:$C$64,2,0),"未登记"))</f>
        <v/>
      </c>
      <c r="G84" s="16"/>
      <c r="H84" s="11"/>
      <c r="I84" s="11" t="str">
        <f aca="false">IF($E84="","",IFERROR(VLOOKUP($E84,题目信息!$B$5:$J$64,9,0),""))</f>
        <v/>
      </c>
      <c r="J84" s="12"/>
      <c r="K84" s="16" t="str">
        <f aca="false">IF($E84="","",IFERROR(VLOOKUP($E84,题目信息!$B$5:$L$64,11,0),10))</f>
        <v/>
      </c>
      <c r="L84" s="18" t="str">
        <f aca="false">IF(OR($J84="",$K84=""),"",$J84/$K84)</f>
        <v/>
      </c>
      <c r="M84" s="11"/>
      <c r="N84" s="11"/>
      <c r="O84" s="14"/>
      <c r="P84" s="11"/>
    </row>
    <row r="85" customFormat="false" ht="21.75" hidden="false" customHeight="true" outlineLevel="0" collapsed="false">
      <c r="B85" s="7"/>
      <c r="C85" s="7"/>
      <c r="D85" s="7" t="str">
        <f aca="false">IF($C85="","",IFERROR(VLOOKUP($C85,模型信息!$B$5:$C$24,2,0),"未登记"))</f>
        <v/>
      </c>
      <c r="E85" s="7"/>
      <c r="F85" s="7" t="str">
        <f aca="false">IF($E85="","",IFERROR(VLOOKUP($E85,题目信息!$B$5:$C$64,2,0),"未登记"))</f>
        <v/>
      </c>
      <c r="G85" s="15"/>
      <c r="H85" s="7"/>
      <c r="I85" s="7" t="str">
        <f aca="false">IF($E85="","",IFERROR(VLOOKUP($E85,题目信息!$B$5:$J$64,9,0),""))</f>
        <v/>
      </c>
      <c r="J85" s="8"/>
      <c r="K85" s="15" t="str">
        <f aca="false">IF($E85="","",IFERROR(VLOOKUP($E85,题目信息!$B$5:$L$64,11,0),10))</f>
        <v/>
      </c>
      <c r="L85" s="17" t="str">
        <f aca="false">IF(OR($J85="",$K85=""),"",$J85/$K85)</f>
        <v/>
      </c>
      <c r="M85" s="7"/>
      <c r="N85" s="7"/>
      <c r="O85" s="10"/>
      <c r="P85" s="7"/>
    </row>
    <row r="86" customFormat="false" ht="21.75" hidden="false" customHeight="true" outlineLevel="0" collapsed="false">
      <c r="B86" s="11"/>
      <c r="C86" s="11"/>
      <c r="D86" s="11" t="str">
        <f aca="false">IF($C86="","",IFERROR(VLOOKUP($C86,模型信息!$B$5:$C$24,2,0),"未登记"))</f>
        <v/>
      </c>
      <c r="E86" s="11"/>
      <c r="F86" s="11" t="str">
        <f aca="false">IF($E86="","",IFERROR(VLOOKUP($E86,题目信息!$B$5:$C$64,2,0),"未登记"))</f>
        <v/>
      </c>
      <c r="G86" s="16"/>
      <c r="H86" s="11"/>
      <c r="I86" s="11" t="str">
        <f aca="false">IF($E86="","",IFERROR(VLOOKUP($E86,题目信息!$B$5:$J$64,9,0),""))</f>
        <v/>
      </c>
      <c r="J86" s="12"/>
      <c r="K86" s="16" t="str">
        <f aca="false">IF($E86="","",IFERROR(VLOOKUP($E86,题目信息!$B$5:$L$64,11,0),10))</f>
        <v/>
      </c>
      <c r="L86" s="18" t="str">
        <f aca="false">IF(OR($J86="",$K86=""),"",$J86/$K86)</f>
        <v/>
      </c>
      <c r="M86" s="11"/>
      <c r="N86" s="11"/>
      <c r="O86" s="14"/>
      <c r="P86" s="11"/>
    </row>
    <row r="87" customFormat="false" ht="21.75" hidden="false" customHeight="true" outlineLevel="0" collapsed="false">
      <c r="B87" s="7"/>
      <c r="C87" s="7"/>
      <c r="D87" s="7" t="str">
        <f aca="false">IF($C87="","",IFERROR(VLOOKUP($C87,模型信息!$B$5:$C$24,2,0),"未登记"))</f>
        <v/>
      </c>
      <c r="E87" s="7"/>
      <c r="F87" s="7" t="str">
        <f aca="false">IF($E87="","",IFERROR(VLOOKUP($E87,题目信息!$B$5:$C$64,2,0),"未登记"))</f>
        <v/>
      </c>
      <c r="G87" s="15"/>
      <c r="H87" s="7"/>
      <c r="I87" s="7" t="str">
        <f aca="false">IF($E87="","",IFERROR(VLOOKUP($E87,题目信息!$B$5:$J$64,9,0),""))</f>
        <v/>
      </c>
      <c r="J87" s="8"/>
      <c r="K87" s="15" t="str">
        <f aca="false">IF($E87="","",IFERROR(VLOOKUP($E87,题目信息!$B$5:$L$64,11,0),10))</f>
        <v/>
      </c>
      <c r="L87" s="17" t="str">
        <f aca="false">IF(OR($J87="",$K87=""),"",$J87/$K87)</f>
        <v/>
      </c>
      <c r="M87" s="7"/>
      <c r="N87" s="7"/>
      <c r="O87" s="10"/>
      <c r="P87" s="7"/>
    </row>
    <row r="88" customFormat="false" ht="21.75" hidden="false" customHeight="true" outlineLevel="0" collapsed="false">
      <c r="B88" s="11"/>
      <c r="C88" s="11"/>
      <c r="D88" s="11" t="str">
        <f aca="false">IF($C88="","",IFERROR(VLOOKUP($C88,模型信息!$B$5:$C$24,2,0),"未登记"))</f>
        <v/>
      </c>
      <c r="E88" s="11"/>
      <c r="F88" s="11" t="str">
        <f aca="false">IF($E88="","",IFERROR(VLOOKUP($E88,题目信息!$B$5:$C$64,2,0),"未登记"))</f>
        <v/>
      </c>
      <c r="G88" s="16"/>
      <c r="H88" s="11"/>
      <c r="I88" s="11" t="str">
        <f aca="false">IF($E88="","",IFERROR(VLOOKUP($E88,题目信息!$B$5:$J$64,9,0),""))</f>
        <v/>
      </c>
      <c r="J88" s="12"/>
      <c r="K88" s="16" t="str">
        <f aca="false">IF($E88="","",IFERROR(VLOOKUP($E88,题目信息!$B$5:$L$64,11,0),10))</f>
        <v/>
      </c>
      <c r="L88" s="18" t="str">
        <f aca="false">IF(OR($J88="",$K88=""),"",$J88/$K88)</f>
        <v/>
      </c>
      <c r="M88" s="11"/>
      <c r="N88" s="11"/>
      <c r="O88" s="14"/>
      <c r="P88" s="11"/>
    </row>
    <row r="89" customFormat="false" ht="21.75" hidden="false" customHeight="true" outlineLevel="0" collapsed="false">
      <c r="B89" s="7"/>
      <c r="C89" s="7"/>
      <c r="D89" s="7" t="str">
        <f aca="false">IF($C89="","",IFERROR(VLOOKUP($C89,模型信息!$B$5:$C$24,2,0),"未登记"))</f>
        <v/>
      </c>
      <c r="E89" s="7"/>
      <c r="F89" s="7" t="str">
        <f aca="false">IF($E89="","",IFERROR(VLOOKUP($E89,题目信息!$B$5:$C$64,2,0),"未登记"))</f>
        <v/>
      </c>
      <c r="G89" s="15"/>
      <c r="H89" s="7"/>
      <c r="I89" s="7" t="str">
        <f aca="false">IF($E89="","",IFERROR(VLOOKUP($E89,题目信息!$B$5:$J$64,9,0),""))</f>
        <v/>
      </c>
      <c r="J89" s="8"/>
      <c r="K89" s="15" t="str">
        <f aca="false">IF($E89="","",IFERROR(VLOOKUP($E89,题目信息!$B$5:$L$64,11,0),10))</f>
        <v/>
      </c>
      <c r="L89" s="17" t="str">
        <f aca="false">IF(OR($J89="",$K89=""),"",$J89/$K89)</f>
        <v/>
      </c>
      <c r="M89" s="7"/>
      <c r="N89" s="7"/>
      <c r="O89" s="10"/>
      <c r="P89" s="7"/>
    </row>
    <row r="90" customFormat="false" ht="21.75" hidden="false" customHeight="true" outlineLevel="0" collapsed="false">
      <c r="B90" s="11"/>
      <c r="C90" s="11"/>
      <c r="D90" s="11" t="str">
        <f aca="false">IF($C90="","",IFERROR(VLOOKUP($C90,模型信息!$B$5:$C$24,2,0),"未登记"))</f>
        <v/>
      </c>
      <c r="E90" s="11"/>
      <c r="F90" s="11" t="str">
        <f aca="false">IF($E90="","",IFERROR(VLOOKUP($E90,题目信息!$B$5:$C$64,2,0),"未登记"))</f>
        <v/>
      </c>
      <c r="G90" s="16"/>
      <c r="H90" s="11"/>
      <c r="I90" s="11" t="str">
        <f aca="false">IF($E90="","",IFERROR(VLOOKUP($E90,题目信息!$B$5:$J$64,9,0),""))</f>
        <v/>
      </c>
      <c r="J90" s="12"/>
      <c r="K90" s="16" t="str">
        <f aca="false">IF($E90="","",IFERROR(VLOOKUP($E90,题目信息!$B$5:$L$64,11,0),10))</f>
        <v/>
      </c>
      <c r="L90" s="18" t="str">
        <f aca="false">IF(OR($J90="",$K90=""),"",$J90/$K90)</f>
        <v/>
      </c>
      <c r="M90" s="11"/>
      <c r="N90" s="11"/>
      <c r="O90" s="14"/>
      <c r="P90" s="11"/>
    </row>
    <row r="91" customFormat="false" ht="21.75" hidden="false" customHeight="true" outlineLevel="0" collapsed="false">
      <c r="B91" s="7"/>
      <c r="C91" s="7"/>
      <c r="D91" s="7" t="str">
        <f aca="false">IF($C91="","",IFERROR(VLOOKUP($C91,模型信息!$B$5:$C$24,2,0),"未登记"))</f>
        <v/>
      </c>
      <c r="E91" s="7"/>
      <c r="F91" s="7" t="str">
        <f aca="false">IF($E91="","",IFERROR(VLOOKUP($E91,题目信息!$B$5:$C$64,2,0),"未登记"))</f>
        <v/>
      </c>
      <c r="G91" s="15"/>
      <c r="H91" s="7"/>
      <c r="I91" s="7" t="str">
        <f aca="false">IF($E91="","",IFERROR(VLOOKUP($E91,题目信息!$B$5:$J$64,9,0),""))</f>
        <v/>
      </c>
      <c r="J91" s="8"/>
      <c r="K91" s="15" t="str">
        <f aca="false">IF($E91="","",IFERROR(VLOOKUP($E91,题目信息!$B$5:$L$64,11,0),10))</f>
        <v/>
      </c>
      <c r="L91" s="17" t="str">
        <f aca="false">IF(OR($J91="",$K91=""),"",$J91/$K91)</f>
        <v/>
      </c>
      <c r="M91" s="7"/>
      <c r="N91" s="7"/>
      <c r="O91" s="10"/>
      <c r="P91" s="7"/>
    </row>
    <row r="92" customFormat="false" ht="21.75" hidden="false" customHeight="true" outlineLevel="0" collapsed="false">
      <c r="B92" s="11"/>
      <c r="C92" s="11"/>
      <c r="D92" s="11" t="str">
        <f aca="false">IF($C92="","",IFERROR(VLOOKUP($C92,模型信息!$B$5:$C$24,2,0),"未登记"))</f>
        <v/>
      </c>
      <c r="E92" s="11"/>
      <c r="F92" s="11" t="str">
        <f aca="false">IF($E92="","",IFERROR(VLOOKUP($E92,题目信息!$B$5:$C$64,2,0),"未登记"))</f>
        <v/>
      </c>
      <c r="G92" s="16"/>
      <c r="H92" s="11"/>
      <c r="I92" s="11" t="str">
        <f aca="false">IF($E92="","",IFERROR(VLOOKUP($E92,题目信息!$B$5:$J$64,9,0),""))</f>
        <v/>
      </c>
      <c r="J92" s="12"/>
      <c r="K92" s="16" t="str">
        <f aca="false">IF($E92="","",IFERROR(VLOOKUP($E92,题目信息!$B$5:$L$64,11,0),10))</f>
        <v/>
      </c>
      <c r="L92" s="18" t="str">
        <f aca="false">IF(OR($J92="",$K92=""),"",$J92/$K92)</f>
        <v/>
      </c>
      <c r="M92" s="11"/>
      <c r="N92" s="11"/>
      <c r="O92" s="14"/>
      <c r="P92" s="11"/>
    </row>
    <row r="93" customFormat="false" ht="21.75" hidden="false" customHeight="true" outlineLevel="0" collapsed="false">
      <c r="B93" s="7"/>
      <c r="C93" s="7"/>
      <c r="D93" s="7" t="str">
        <f aca="false">IF($C93="","",IFERROR(VLOOKUP($C93,模型信息!$B$5:$C$24,2,0),"未登记"))</f>
        <v/>
      </c>
      <c r="E93" s="7"/>
      <c r="F93" s="7" t="str">
        <f aca="false">IF($E93="","",IFERROR(VLOOKUP($E93,题目信息!$B$5:$C$64,2,0),"未登记"))</f>
        <v/>
      </c>
      <c r="G93" s="15"/>
      <c r="H93" s="7"/>
      <c r="I93" s="7" t="str">
        <f aca="false">IF($E93="","",IFERROR(VLOOKUP($E93,题目信息!$B$5:$J$64,9,0),""))</f>
        <v/>
      </c>
      <c r="J93" s="8"/>
      <c r="K93" s="15" t="str">
        <f aca="false">IF($E93="","",IFERROR(VLOOKUP($E93,题目信息!$B$5:$L$64,11,0),10))</f>
        <v/>
      </c>
      <c r="L93" s="17" t="str">
        <f aca="false">IF(OR($J93="",$K93=""),"",$J93/$K93)</f>
        <v/>
      </c>
      <c r="M93" s="7"/>
      <c r="N93" s="7"/>
      <c r="O93" s="10"/>
      <c r="P93" s="7"/>
    </row>
    <row r="94" customFormat="false" ht="21.75" hidden="false" customHeight="true" outlineLevel="0" collapsed="false">
      <c r="B94" s="11"/>
      <c r="C94" s="11"/>
      <c r="D94" s="11" t="str">
        <f aca="false">IF($C94="","",IFERROR(VLOOKUP($C94,模型信息!$B$5:$C$24,2,0),"未登记"))</f>
        <v/>
      </c>
      <c r="E94" s="11"/>
      <c r="F94" s="11" t="str">
        <f aca="false">IF($E94="","",IFERROR(VLOOKUP($E94,题目信息!$B$5:$C$64,2,0),"未登记"))</f>
        <v/>
      </c>
      <c r="G94" s="16"/>
      <c r="H94" s="11"/>
      <c r="I94" s="11" t="str">
        <f aca="false">IF($E94="","",IFERROR(VLOOKUP($E94,题目信息!$B$5:$J$64,9,0),""))</f>
        <v/>
      </c>
      <c r="J94" s="12"/>
      <c r="K94" s="16" t="str">
        <f aca="false">IF($E94="","",IFERROR(VLOOKUP($E94,题目信息!$B$5:$L$64,11,0),10))</f>
        <v/>
      </c>
      <c r="L94" s="18" t="str">
        <f aca="false">IF(OR($J94="",$K94=""),"",$J94/$K94)</f>
        <v/>
      </c>
      <c r="M94" s="11"/>
      <c r="N94" s="11"/>
      <c r="O94" s="14"/>
      <c r="P94" s="11"/>
    </row>
    <row r="95" customFormat="false" ht="21.75" hidden="false" customHeight="true" outlineLevel="0" collapsed="false">
      <c r="B95" s="7"/>
      <c r="C95" s="7"/>
      <c r="D95" s="7" t="str">
        <f aca="false">IF($C95="","",IFERROR(VLOOKUP($C95,模型信息!$B$5:$C$24,2,0),"未登记"))</f>
        <v/>
      </c>
      <c r="E95" s="7"/>
      <c r="F95" s="7" t="str">
        <f aca="false">IF($E95="","",IFERROR(VLOOKUP($E95,题目信息!$B$5:$C$64,2,0),"未登记"))</f>
        <v/>
      </c>
      <c r="G95" s="15"/>
      <c r="H95" s="7"/>
      <c r="I95" s="7" t="str">
        <f aca="false">IF($E95="","",IFERROR(VLOOKUP($E95,题目信息!$B$5:$J$64,9,0),""))</f>
        <v/>
      </c>
      <c r="J95" s="8"/>
      <c r="K95" s="15" t="str">
        <f aca="false">IF($E95="","",IFERROR(VLOOKUP($E95,题目信息!$B$5:$L$64,11,0),10))</f>
        <v/>
      </c>
      <c r="L95" s="17" t="str">
        <f aca="false">IF(OR($J95="",$K95=""),"",$J95/$K95)</f>
        <v/>
      </c>
      <c r="M95" s="7"/>
      <c r="N95" s="7"/>
      <c r="O95" s="10"/>
      <c r="P95" s="7"/>
    </row>
    <row r="96" customFormat="false" ht="21.75" hidden="false" customHeight="true" outlineLevel="0" collapsed="false">
      <c r="B96" s="11"/>
      <c r="C96" s="11"/>
      <c r="D96" s="11" t="str">
        <f aca="false">IF($C96="","",IFERROR(VLOOKUP($C96,模型信息!$B$5:$C$24,2,0),"未登记"))</f>
        <v/>
      </c>
      <c r="E96" s="11"/>
      <c r="F96" s="11" t="str">
        <f aca="false">IF($E96="","",IFERROR(VLOOKUP($E96,题目信息!$B$5:$C$64,2,0),"未登记"))</f>
        <v/>
      </c>
      <c r="G96" s="16"/>
      <c r="H96" s="11"/>
      <c r="I96" s="11" t="str">
        <f aca="false">IF($E96="","",IFERROR(VLOOKUP($E96,题目信息!$B$5:$J$64,9,0),""))</f>
        <v/>
      </c>
      <c r="J96" s="12"/>
      <c r="K96" s="16" t="str">
        <f aca="false">IF($E96="","",IFERROR(VLOOKUP($E96,题目信息!$B$5:$L$64,11,0),10))</f>
        <v/>
      </c>
      <c r="L96" s="18" t="str">
        <f aca="false">IF(OR($J96="",$K96=""),"",$J96/$K96)</f>
        <v/>
      </c>
      <c r="M96" s="11"/>
      <c r="N96" s="11"/>
      <c r="O96" s="14"/>
      <c r="P96" s="11"/>
    </row>
    <row r="97" customFormat="false" ht="21.75" hidden="false" customHeight="true" outlineLevel="0" collapsed="false">
      <c r="B97" s="7"/>
      <c r="C97" s="7"/>
      <c r="D97" s="7" t="str">
        <f aca="false">IF($C97="","",IFERROR(VLOOKUP($C97,模型信息!$B$5:$C$24,2,0),"未登记"))</f>
        <v/>
      </c>
      <c r="E97" s="7"/>
      <c r="F97" s="7" t="str">
        <f aca="false">IF($E97="","",IFERROR(VLOOKUP($E97,题目信息!$B$5:$C$64,2,0),"未登记"))</f>
        <v/>
      </c>
      <c r="G97" s="15"/>
      <c r="H97" s="7"/>
      <c r="I97" s="7" t="str">
        <f aca="false">IF($E97="","",IFERROR(VLOOKUP($E97,题目信息!$B$5:$J$64,9,0),""))</f>
        <v/>
      </c>
      <c r="J97" s="8"/>
      <c r="K97" s="15" t="str">
        <f aca="false">IF($E97="","",IFERROR(VLOOKUP($E97,题目信息!$B$5:$L$64,11,0),10))</f>
        <v/>
      </c>
      <c r="L97" s="17" t="str">
        <f aca="false">IF(OR($J97="",$K97=""),"",$J97/$K97)</f>
        <v/>
      </c>
      <c r="M97" s="7"/>
      <c r="N97" s="7"/>
      <c r="O97" s="10"/>
      <c r="P97" s="7"/>
    </row>
    <row r="98" customFormat="false" ht="21.75" hidden="false" customHeight="true" outlineLevel="0" collapsed="false">
      <c r="B98" s="11"/>
      <c r="C98" s="11"/>
      <c r="D98" s="11" t="str">
        <f aca="false">IF($C98="","",IFERROR(VLOOKUP($C98,模型信息!$B$5:$C$24,2,0),"未登记"))</f>
        <v/>
      </c>
      <c r="E98" s="11"/>
      <c r="F98" s="11" t="str">
        <f aca="false">IF($E98="","",IFERROR(VLOOKUP($E98,题目信息!$B$5:$C$64,2,0),"未登记"))</f>
        <v/>
      </c>
      <c r="G98" s="16"/>
      <c r="H98" s="11"/>
      <c r="I98" s="11" t="str">
        <f aca="false">IF($E98="","",IFERROR(VLOOKUP($E98,题目信息!$B$5:$J$64,9,0),""))</f>
        <v/>
      </c>
      <c r="J98" s="12"/>
      <c r="K98" s="16" t="str">
        <f aca="false">IF($E98="","",IFERROR(VLOOKUP($E98,题目信息!$B$5:$L$64,11,0),10))</f>
        <v/>
      </c>
      <c r="L98" s="18" t="str">
        <f aca="false">IF(OR($J98="",$K98=""),"",$J98/$K98)</f>
        <v/>
      </c>
      <c r="M98" s="11"/>
      <c r="N98" s="11"/>
      <c r="O98" s="14"/>
      <c r="P98" s="11"/>
    </row>
    <row r="99" customFormat="false" ht="21.75" hidden="false" customHeight="true" outlineLevel="0" collapsed="false">
      <c r="B99" s="7"/>
      <c r="C99" s="7"/>
      <c r="D99" s="7" t="str">
        <f aca="false">IF($C99="","",IFERROR(VLOOKUP($C99,模型信息!$B$5:$C$24,2,0),"未登记"))</f>
        <v/>
      </c>
      <c r="E99" s="7"/>
      <c r="F99" s="7" t="str">
        <f aca="false">IF($E99="","",IFERROR(VLOOKUP($E99,题目信息!$B$5:$C$64,2,0),"未登记"))</f>
        <v/>
      </c>
      <c r="G99" s="15"/>
      <c r="H99" s="7"/>
      <c r="I99" s="7" t="str">
        <f aca="false">IF($E99="","",IFERROR(VLOOKUP($E99,题目信息!$B$5:$J$64,9,0),""))</f>
        <v/>
      </c>
      <c r="J99" s="8"/>
      <c r="K99" s="15" t="str">
        <f aca="false">IF($E99="","",IFERROR(VLOOKUP($E99,题目信息!$B$5:$L$64,11,0),10))</f>
        <v/>
      </c>
      <c r="L99" s="17" t="str">
        <f aca="false">IF(OR($J99="",$K99=""),"",$J99/$K99)</f>
        <v/>
      </c>
      <c r="M99" s="7"/>
      <c r="N99" s="7"/>
      <c r="O99" s="10"/>
      <c r="P99" s="7"/>
    </row>
    <row r="100" customFormat="false" ht="21.75" hidden="false" customHeight="true" outlineLevel="0" collapsed="false">
      <c r="B100" s="11"/>
      <c r="C100" s="11"/>
      <c r="D100" s="11" t="str">
        <f aca="false">IF($C100="","",IFERROR(VLOOKUP($C100,模型信息!$B$5:$C$24,2,0),"未登记"))</f>
        <v/>
      </c>
      <c r="E100" s="11"/>
      <c r="F100" s="11" t="str">
        <f aca="false">IF($E100="","",IFERROR(VLOOKUP($E100,题目信息!$B$5:$C$64,2,0),"未登记"))</f>
        <v/>
      </c>
      <c r="G100" s="16"/>
      <c r="H100" s="11"/>
      <c r="I100" s="11" t="str">
        <f aca="false">IF($E100="","",IFERROR(VLOOKUP($E100,题目信息!$B$5:$J$64,9,0),""))</f>
        <v/>
      </c>
      <c r="J100" s="12"/>
      <c r="K100" s="16" t="str">
        <f aca="false">IF($E100="","",IFERROR(VLOOKUP($E100,题目信息!$B$5:$L$64,11,0),10))</f>
        <v/>
      </c>
      <c r="L100" s="18" t="str">
        <f aca="false">IF(OR($J100="",$K100=""),"",$J100/$K100)</f>
        <v/>
      </c>
      <c r="M100" s="11"/>
      <c r="N100" s="11"/>
      <c r="O100" s="14"/>
      <c r="P100" s="11"/>
    </row>
    <row r="101" customFormat="false" ht="21.75" hidden="false" customHeight="true" outlineLevel="0" collapsed="false">
      <c r="B101" s="7"/>
      <c r="C101" s="7"/>
      <c r="D101" s="7" t="str">
        <f aca="false">IF($C101="","",IFERROR(VLOOKUP($C101,模型信息!$B$5:$C$24,2,0),"未登记"))</f>
        <v/>
      </c>
      <c r="E101" s="7"/>
      <c r="F101" s="7" t="str">
        <f aca="false">IF($E101="","",IFERROR(VLOOKUP($E101,题目信息!$B$5:$C$64,2,0),"未登记"))</f>
        <v/>
      </c>
      <c r="G101" s="15"/>
      <c r="H101" s="7"/>
      <c r="I101" s="7" t="str">
        <f aca="false">IF($E101="","",IFERROR(VLOOKUP($E101,题目信息!$B$5:$J$64,9,0),""))</f>
        <v/>
      </c>
      <c r="J101" s="8"/>
      <c r="K101" s="15" t="str">
        <f aca="false">IF($E101="","",IFERROR(VLOOKUP($E101,题目信息!$B$5:$L$64,11,0),10))</f>
        <v/>
      </c>
      <c r="L101" s="17" t="str">
        <f aca="false">IF(OR($J101="",$K101=""),"",$J101/$K101)</f>
        <v/>
      </c>
      <c r="M101" s="7"/>
      <c r="N101" s="7"/>
      <c r="O101" s="10"/>
      <c r="P101" s="7"/>
    </row>
    <row r="102" customFormat="false" ht="21.75" hidden="false" customHeight="true" outlineLevel="0" collapsed="false">
      <c r="B102" s="11"/>
      <c r="C102" s="11"/>
      <c r="D102" s="11" t="str">
        <f aca="false">IF($C102="","",IFERROR(VLOOKUP($C102,模型信息!$B$5:$C$24,2,0),"未登记"))</f>
        <v/>
      </c>
      <c r="E102" s="11"/>
      <c r="F102" s="11" t="str">
        <f aca="false">IF($E102="","",IFERROR(VLOOKUP($E102,题目信息!$B$5:$C$64,2,0),"未登记"))</f>
        <v/>
      </c>
      <c r="G102" s="16"/>
      <c r="H102" s="11"/>
      <c r="I102" s="11" t="str">
        <f aca="false">IF($E102="","",IFERROR(VLOOKUP($E102,题目信息!$B$5:$J$64,9,0),""))</f>
        <v/>
      </c>
      <c r="J102" s="12"/>
      <c r="K102" s="16" t="str">
        <f aca="false">IF($E102="","",IFERROR(VLOOKUP($E102,题目信息!$B$5:$L$64,11,0),10))</f>
        <v/>
      </c>
      <c r="L102" s="18" t="str">
        <f aca="false">IF(OR($J102="",$K102=""),"",$J102/$K102)</f>
        <v/>
      </c>
      <c r="M102" s="11"/>
      <c r="N102" s="11"/>
      <c r="O102" s="14"/>
      <c r="P102" s="11"/>
    </row>
    <row r="103" customFormat="false" ht="21.75" hidden="false" customHeight="true" outlineLevel="0" collapsed="false">
      <c r="B103" s="7"/>
      <c r="C103" s="7"/>
      <c r="D103" s="7" t="str">
        <f aca="false">IF($C103="","",IFERROR(VLOOKUP($C103,模型信息!$B$5:$C$24,2,0),"未登记"))</f>
        <v/>
      </c>
      <c r="E103" s="7"/>
      <c r="F103" s="7" t="str">
        <f aca="false">IF($E103="","",IFERROR(VLOOKUP($E103,题目信息!$B$5:$C$64,2,0),"未登记"))</f>
        <v/>
      </c>
      <c r="G103" s="15"/>
      <c r="H103" s="7"/>
      <c r="I103" s="7" t="str">
        <f aca="false">IF($E103="","",IFERROR(VLOOKUP($E103,题目信息!$B$5:$J$64,9,0),""))</f>
        <v/>
      </c>
      <c r="J103" s="8"/>
      <c r="K103" s="15" t="str">
        <f aca="false">IF($E103="","",IFERROR(VLOOKUP($E103,题目信息!$B$5:$L$64,11,0),10))</f>
        <v/>
      </c>
      <c r="L103" s="17" t="str">
        <f aca="false">IF(OR($J103="",$K103=""),"",$J103/$K103)</f>
        <v/>
      </c>
      <c r="M103" s="7"/>
      <c r="N103" s="7"/>
      <c r="O103" s="10"/>
      <c r="P103" s="7"/>
    </row>
    <row r="104" customFormat="false" ht="21.75" hidden="false" customHeight="true" outlineLevel="0" collapsed="false">
      <c r="B104" s="11"/>
      <c r="C104" s="11"/>
      <c r="D104" s="11" t="str">
        <f aca="false">IF($C104="","",IFERROR(VLOOKUP($C104,模型信息!$B$5:$C$24,2,0),"未登记"))</f>
        <v/>
      </c>
      <c r="E104" s="11"/>
      <c r="F104" s="11" t="str">
        <f aca="false">IF($E104="","",IFERROR(VLOOKUP($E104,题目信息!$B$5:$C$64,2,0),"未登记"))</f>
        <v/>
      </c>
      <c r="G104" s="16"/>
      <c r="H104" s="11"/>
      <c r="I104" s="11" t="str">
        <f aca="false">IF($E104="","",IFERROR(VLOOKUP($E104,题目信息!$B$5:$J$64,9,0),""))</f>
        <v/>
      </c>
      <c r="J104" s="12"/>
      <c r="K104" s="16" t="str">
        <f aca="false">IF($E104="","",IFERROR(VLOOKUP($E104,题目信息!$B$5:$L$64,11,0),10))</f>
        <v/>
      </c>
      <c r="L104" s="18" t="str">
        <f aca="false">IF(OR($J104="",$K104=""),"",$J104/$K104)</f>
        <v/>
      </c>
      <c r="M104" s="11"/>
      <c r="N104" s="11"/>
      <c r="O104" s="14"/>
      <c r="P104" s="11"/>
    </row>
    <row r="105" customFormat="false" ht="21.75" hidden="false" customHeight="true" outlineLevel="0" collapsed="false">
      <c r="B105" s="7"/>
      <c r="C105" s="7"/>
      <c r="D105" s="7" t="str">
        <f aca="false">IF($C105="","",IFERROR(VLOOKUP($C105,模型信息!$B$5:$C$24,2,0),"未登记"))</f>
        <v/>
      </c>
      <c r="E105" s="7"/>
      <c r="F105" s="7" t="str">
        <f aca="false">IF($E105="","",IFERROR(VLOOKUP($E105,题目信息!$B$5:$C$64,2,0),"未登记"))</f>
        <v/>
      </c>
      <c r="G105" s="15"/>
      <c r="H105" s="7"/>
      <c r="I105" s="7" t="str">
        <f aca="false">IF($E105="","",IFERROR(VLOOKUP($E105,题目信息!$B$5:$J$64,9,0),""))</f>
        <v/>
      </c>
      <c r="J105" s="8"/>
      <c r="K105" s="15" t="str">
        <f aca="false">IF($E105="","",IFERROR(VLOOKUP($E105,题目信息!$B$5:$L$64,11,0),10))</f>
        <v/>
      </c>
      <c r="L105" s="17" t="str">
        <f aca="false">IF(OR($J105="",$K105=""),"",$J105/$K105)</f>
        <v/>
      </c>
      <c r="M105" s="7"/>
      <c r="N105" s="7"/>
      <c r="O105" s="10"/>
      <c r="P105" s="7"/>
    </row>
    <row r="106" customFormat="false" ht="21.75" hidden="false" customHeight="true" outlineLevel="0" collapsed="false">
      <c r="B106" s="11"/>
      <c r="C106" s="11"/>
      <c r="D106" s="11" t="str">
        <f aca="false">IF($C106="","",IFERROR(VLOOKUP($C106,模型信息!$B$5:$C$24,2,0),"未登记"))</f>
        <v/>
      </c>
      <c r="E106" s="11"/>
      <c r="F106" s="11" t="str">
        <f aca="false">IF($E106="","",IFERROR(VLOOKUP($E106,题目信息!$B$5:$C$64,2,0),"未登记"))</f>
        <v/>
      </c>
      <c r="G106" s="16"/>
      <c r="H106" s="11"/>
      <c r="I106" s="11" t="str">
        <f aca="false">IF($E106="","",IFERROR(VLOOKUP($E106,题目信息!$B$5:$J$64,9,0),""))</f>
        <v/>
      </c>
      <c r="J106" s="12"/>
      <c r="K106" s="16" t="str">
        <f aca="false">IF($E106="","",IFERROR(VLOOKUP($E106,题目信息!$B$5:$L$64,11,0),10))</f>
        <v/>
      </c>
      <c r="L106" s="18" t="str">
        <f aca="false">IF(OR($J106="",$K106=""),"",$J106/$K106)</f>
        <v/>
      </c>
      <c r="M106" s="11"/>
      <c r="N106" s="11"/>
      <c r="O106" s="14"/>
      <c r="P106" s="11"/>
    </row>
    <row r="107" customFormat="false" ht="21.75" hidden="false" customHeight="true" outlineLevel="0" collapsed="false">
      <c r="B107" s="7"/>
      <c r="C107" s="7"/>
      <c r="D107" s="7" t="str">
        <f aca="false">IF($C107="","",IFERROR(VLOOKUP($C107,模型信息!$B$5:$C$24,2,0),"未登记"))</f>
        <v/>
      </c>
      <c r="E107" s="7"/>
      <c r="F107" s="7" t="str">
        <f aca="false">IF($E107="","",IFERROR(VLOOKUP($E107,题目信息!$B$5:$C$64,2,0),"未登记"))</f>
        <v/>
      </c>
      <c r="G107" s="15"/>
      <c r="H107" s="7"/>
      <c r="I107" s="7" t="str">
        <f aca="false">IF($E107="","",IFERROR(VLOOKUP($E107,题目信息!$B$5:$J$64,9,0),""))</f>
        <v/>
      </c>
      <c r="J107" s="8"/>
      <c r="K107" s="15" t="str">
        <f aca="false">IF($E107="","",IFERROR(VLOOKUP($E107,题目信息!$B$5:$L$64,11,0),10))</f>
        <v/>
      </c>
      <c r="L107" s="17" t="str">
        <f aca="false">IF(OR($J107="",$K107=""),"",$J107/$K107)</f>
        <v/>
      </c>
      <c r="M107" s="7"/>
      <c r="N107" s="7"/>
      <c r="O107" s="10"/>
      <c r="P107" s="7"/>
    </row>
    <row r="108" customFormat="false" ht="21.75" hidden="false" customHeight="true" outlineLevel="0" collapsed="false">
      <c r="B108" s="11"/>
      <c r="C108" s="11"/>
      <c r="D108" s="11" t="str">
        <f aca="false">IF($C108="","",IFERROR(VLOOKUP($C108,模型信息!$B$5:$C$24,2,0),"未登记"))</f>
        <v/>
      </c>
      <c r="E108" s="11"/>
      <c r="F108" s="11" t="str">
        <f aca="false">IF($E108="","",IFERROR(VLOOKUP($E108,题目信息!$B$5:$C$64,2,0),"未登记"))</f>
        <v/>
      </c>
      <c r="G108" s="16"/>
      <c r="H108" s="11"/>
      <c r="I108" s="11" t="str">
        <f aca="false">IF($E108="","",IFERROR(VLOOKUP($E108,题目信息!$B$5:$J$64,9,0),""))</f>
        <v/>
      </c>
      <c r="J108" s="12"/>
      <c r="K108" s="16" t="str">
        <f aca="false">IF($E108="","",IFERROR(VLOOKUP($E108,题目信息!$B$5:$L$64,11,0),10))</f>
        <v/>
      </c>
      <c r="L108" s="18" t="str">
        <f aca="false">IF(OR($J108="",$K108=""),"",$J108/$K108)</f>
        <v/>
      </c>
      <c r="M108" s="11"/>
      <c r="N108" s="11"/>
      <c r="O108" s="14"/>
      <c r="P108" s="11"/>
    </row>
    <row r="109" customFormat="false" ht="21.75" hidden="false" customHeight="true" outlineLevel="0" collapsed="false">
      <c r="B109" s="7"/>
      <c r="C109" s="7"/>
      <c r="D109" s="7" t="str">
        <f aca="false">IF($C109="","",IFERROR(VLOOKUP($C109,模型信息!$B$5:$C$24,2,0),"未登记"))</f>
        <v/>
      </c>
      <c r="E109" s="7"/>
      <c r="F109" s="7" t="str">
        <f aca="false">IF($E109="","",IFERROR(VLOOKUP($E109,题目信息!$B$5:$C$64,2,0),"未登记"))</f>
        <v/>
      </c>
      <c r="G109" s="15"/>
      <c r="H109" s="7"/>
      <c r="I109" s="7" t="str">
        <f aca="false">IF($E109="","",IFERROR(VLOOKUP($E109,题目信息!$B$5:$J$64,9,0),""))</f>
        <v/>
      </c>
      <c r="J109" s="8"/>
      <c r="K109" s="15" t="str">
        <f aca="false">IF($E109="","",IFERROR(VLOOKUP($E109,题目信息!$B$5:$L$64,11,0),10))</f>
        <v/>
      </c>
      <c r="L109" s="17" t="str">
        <f aca="false">IF(OR($J109="",$K109=""),"",$J109/$K109)</f>
        <v/>
      </c>
      <c r="M109" s="7"/>
      <c r="N109" s="7"/>
      <c r="O109" s="10"/>
      <c r="P109" s="7"/>
    </row>
    <row r="110" customFormat="false" ht="21.75" hidden="false" customHeight="true" outlineLevel="0" collapsed="false">
      <c r="B110" s="11"/>
      <c r="C110" s="11"/>
      <c r="D110" s="11" t="str">
        <f aca="false">IF($C110="","",IFERROR(VLOOKUP($C110,模型信息!$B$5:$C$24,2,0),"未登记"))</f>
        <v/>
      </c>
      <c r="E110" s="11"/>
      <c r="F110" s="11" t="str">
        <f aca="false">IF($E110="","",IFERROR(VLOOKUP($E110,题目信息!$B$5:$C$64,2,0),"未登记"))</f>
        <v/>
      </c>
      <c r="G110" s="16"/>
      <c r="H110" s="11"/>
      <c r="I110" s="11" t="str">
        <f aca="false">IF($E110="","",IFERROR(VLOOKUP($E110,题目信息!$B$5:$J$64,9,0),""))</f>
        <v/>
      </c>
      <c r="J110" s="12"/>
      <c r="K110" s="16" t="str">
        <f aca="false">IF($E110="","",IFERROR(VLOOKUP($E110,题目信息!$B$5:$L$64,11,0),10))</f>
        <v/>
      </c>
      <c r="L110" s="18" t="str">
        <f aca="false">IF(OR($J110="",$K110=""),"",$J110/$K110)</f>
        <v/>
      </c>
      <c r="M110" s="11"/>
      <c r="N110" s="11"/>
      <c r="O110" s="14"/>
      <c r="P110" s="11"/>
    </row>
    <row r="111" customFormat="false" ht="21.75" hidden="false" customHeight="true" outlineLevel="0" collapsed="false">
      <c r="B111" s="7"/>
      <c r="C111" s="7"/>
      <c r="D111" s="7" t="str">
        <f aca="false">IF($C111="","",IFERROR(VLOOKUP($C111,模型信息!$B$5:$C$24,2,0),"未登记"))</f>
        <v/>
      </c>
      <c r="E111" s="7"/>
      <c r="F111" s="7" t="str">
        <f aca="false">IF($E111="","",IFERROR(VLOOKUP($E111,题目信息!$B$5:$C$64,2,0),"未登记"))</f>
        <v/>
      </c>
      <c r="G111" s="15"/>
      <c r="H111" s="7"/>
      <c r="I111" s="7" t="str">
        <f aca="false">IF($E111="","",IFERROR(VLOOKUP($E111,题目信息!$B$5:$J$64,9,0),""))</f>
        <v/>
      </c>
      <c r="J111" s="8"/>
      <c r="K111" s="15" t="str">
        <f aca="false">IF($E111="","",IFERROR(VLOOKUP($E111,题目信息!$B$5:$L$64,11,0),10))</f>
        <v/>
      </c>
      <c r="L111" s="17" t="str">
        <f aca="false">IF(OR($J111="",$K111=""),"",$J111/$K111)</f>
        <v/>
      </c>
      <c r="M111" s="7"/>
      <c r="N111" s="7"/>
      <c r="O111" s="10"/>
      <c r="P111" s="7"/>
    </row>
    <row r="112" customFormat="false" ht="21.75" hidden="false" customHeight="true" outlineLevel="0" collapsed="false">
      <c r="B112" s="11"/>
      <c r="C112" s="11"/>
      <c r="D112" s="11" t="str">
        <f aca="false">IF($C112="","",IFERROR(VLOOKUP($C112,模型信息!$B$5:$C$24,2,0),"未登记"))</f>
        <v/>
      </c>
      <c r="E112" s="11"/>
      <c r="F112" s="11" t="str">
        <f aca="false">IF($E112="","",IFERROR(VLOOKUP($E112,题目信息!$B$5:$C$64,2,0),"未登记"))</f>
        <v/>
      </c>
      <c r="G112" s="16"/>
      <c r="H112" s="11"/>
      <c r="I112" s="11" t="str">
        <f aca="false">IF($E112="","",IFERROR(VLOOKUP($E112,题目信息!$B$5:$J$64,9,0),""))</f>
        <v/>
      </c>
      <c r="J112" s="12"/>
      <c r="K112" s="16" t="str">
        <f aca="false">IF($E112="","",IFERROR(VLOOKUP($E112,题目信息!$B$5:$L$64,11,0),10))</f>
        <v/>
      </c>
      <c r="L112" s="18" t="str">
        <f aca="false">IF(OR($J112="",$K112=""),"",$J112/$K112)</f>
        <v/>
      </c>
      <c r="M112" s="11"/>
      <c r="N112" s="11"/>
      <c r="O112" s="14"/>
      <c r="P112" s="11"/>
    </row>
    <row r="113" customFormat="false" ht="21.75" hidden="false" customHeight="true" outlineLevel="0" collapsed="false">
      <c r="B113" s="7"/>
      <c r="C113" s="7"/>
      <c r="D113" s="7" t="str">
        <f aca="false">IF($C113="","",IFERROR(VLOOKUP($C113,模型信息!$B$5:$C$24,2,0),"未登记"))</f>
        <v/>
      </c>
      <c r="E113" s="7"/>
      <c r="F113" s="7" t="str">
        <f aca="false">IF($E113="","",IFERROR(VLOOKUP($E113,题目信息!$B$5:$C$64,2,0),"未登记"))</f>
        <v/>
      </c>
      <c r="G113" s="15"/>
      <c r="H113" s="7"/>
      <c r="I113" s="7" t="str">
        <f aca="false">IF($E113="","",IFERROR(VLOOKUP($E113,题目信息!$B$5:$J$64,9,0),""))</f>
        <v/>
      </c>
      <c r="J113" s="8"/>
      <c r="K113" s="15" t="str">
        <f aca="false">IF($E113="","",IFERROR(VLOOKUP($E113,题目信息!$B$5:$L$64,11,0),10))</f>
        <v/>
      </c>
      <c r="L113" s="17" t="str">
        <f aca="false">IF(OR($J113="",$K113=""),"",$J113/$K113)</f>
        <v/>
      </c>
      <c r="M113" s="7"/>
      <c r="N113" s="7"/>
      <c r="O113" s="10"/>
      <c r="P113" s="7"/>
    </row>
    <row r="114" customFormat="false" ht="21.75" hidden="false" customHeight="true" outlineLevel="0" collapsed="false">
      <c r="B114" s="11"/>
      <c r="C114" s="11"/>
      <c r="D114" s="11" t="str">
        <f aca="false">IF($C114="","",IFERROR(VLOOKUP($C114,模型信息!$B$5:$C$24,2,0),"未登记"))</f>
        <v/>
      </c>
      <c r="E114" s="11"/>
      <c r="F114" s="11" t="str">
        <f aca="false">IF($E114="","",IFERROR(VLOOKUP($E114,题目信息!$B$5:$C$64,2,0),"未登记"))</f>
        <v/>
      </c>
      <c r="G114" s="16"/>
      <c r="H114" s="11"/>
      <c r="I114" s="11" t="str">
        <f aca="false">IF($E114="","",IFERROR(VLOOKUP($E114,题目信息!$B$5:$J$64,9,0),""))</f>
        <v/>
      </c>
      <c r="J114" s="12"/>
      <c r="K114" s="16" t="str">
        <f aca="false">IF($E114="","",IFERROR(VLOOKUP($E114,题目信息!$B$5:$L$64,11,0),10))</f>
        <v/>
      </c>
      <c r="L114" s="18" t="str">
        <f aca="false">IF(OR($J114="",$K114=""),"",$J114/$K114)</f>
        <v/>
      </c>
      <c r="M114" s="11"/>
      <c r="N114" s="11"/>
      <c r="O114" s="14"/>
      <c r="P114" s="11"/>
    </row>
    <row r="115" customFormat="false" ht="21.75" hidden="false" customHeight="true" outlineLevel="0" collapsed="false">
      <c r="B115" s="7"/>
      <c r="C115" s="7"/>
      <c r="D115" s="7" t="str">
        <f aca="false">IF($C115="","",IFERROR(VLOOKUP($C115,模型信息!$B$5:$C$24,2,0),"未登记"))</f>
        <v/>
      </c>
      <c r="E115" s="7"/>
      <c r="F115" s="7" t="str">
        <f aca="false">IF($E115="","",IFERROR(VLOOKUP($E115,题目信息!$B$5:$C$64,2,0),"未登记"))</f>
        <v/>
      </c>
      <c r="G115" s="15"/>
      <c r="H115" s="7"/>
      <c r="I115" s="7" t="str">
        <f aca="false">IF($E115="","",IFERROR(VLOOKUP($E115,题目信息!$B$5:$J$64,9,0),""))</f>
        <v/>
      </c>
      <c r="J115" s="8"/>
      <c r="K115" s="15" t="str">
        <f aca="false">IF($E115="","",IFERROR(VLOOKUP($E115,题目信息!$B$5:$L$64,11,0),10))</f>
        <v/>
      </c>
      <c r="L115" s="17" t="str">
        <f aca="false">IF(OR($J115="",$K115=""),"",$J115/$K115)</f>
        <v/>
      </c>
      <c r="M115" s="7"/>
      <c r="N115" s="7"/>
      <c r="O115" s="10"/>
      <c r="P115" s="7"/>
    </row>
    <row r="116" customFormat="false" ht="21.75" hidden="false" customHeight="true" outlineLevel="0" collapsed="false">
      <c r="B116" s="11"/>
      <c r="C116" s="11"/>
      <c r="D116" s="11" t="str">
        <f aca="false">IF($C116="","",IFERROR(VLOOKUP($C116,模型信息!$B$5:$C$24,2,0),"未登记"))</f>
        <v/>
      </c>
      <c r="E116" s="11"/>
      <c r="F116" s="11" t="str">
        <f aca="false">IF($E116="","",IFERROR(VLOOKUP($E116,题目信息!$B$5:$C$64,2,0),"未登记"))</f>
        <v/>
      </c>
      <c r="G116" s="16"/>
      <c r="H116" s="11"/>
      <c r="I116" s="11" t="str">
        <f aca="false">IF($E116="","",IFERROR(VLOOKUP($E116,题目信息!$B$5:$J$64,9,0),""))</f>
        <v/>
      </c>
      <c r="J116" s="12"/>
      <c r="K116" s="16" t="str">
        <f aca="false">IF($E116="","",IFERROR(VLOOKUP($E116,题目信息!$B$5:$L$64,11,0),10))</f>
        <v/>
      </c>
      <c r="L116" s="18" t="str">
        <f aca="false">IF(OR($J116="",$K116=""),"",$J116/$K116)</f>
        <v/>
      </c>
      <c r="M116" s="11"/>
      <c r="N116" s="11"/>
      <c r="O116" s="14"/>
      <c r="P116" s="11"/>
    </row>
    <row r="117" customFormat="false" ht="21.75" hidden="false" customHeight="true" outlineLevel="0" collapsed="false">
      <c r="B117" s="7"/>
      <c r="C117" s="7"/>
      <c r="D117" s="7" t="str">
        <f aca="false">IF($C117="","",IFERROR(VLOOKUP($C117,模型信息!$B$5:$C$24,2,0),"未登记"))</f>
        <v/>
      </c>
      <c r="E117" s="7"/>
      <c r="F117" s="7" t="str">
        <f aca="false">IF($E117="","",IFERROR(VLOOKUP($E117,题目信息!$B$5:$C$64,2,0),"未登记"))</f>
        <v/>
      </c>
      <c r="G117" s="15"/>
      <c r="H117" s="7"/>
      <c r="I117" s="7" t="str">
        <f aca="false">IF($E117="","",IFERROR(VLOOKUP($E117,题目信息!$B$5:$J$64,9,0),""))</f>
        <v/>
      </c>
      <c r="J117" s="8"/>
      <c r="K117" s="15" t="str">
        <f aca="false">IF($E117="","",IFERROR(VLOOKUP($E117,题目信息!$B$5:$L$64,11,0),10))</f>
        <v/>
      </c>
      <c r="L117" s="17" t="str">
        <f aca="false">IF(OR($J117="",$K117=""),"",$J117/$K117)</f>
        <v/>
      </c>
      <c r="M117" s="7"/>
      <c r="N117" s="7"/>
      <c r="O117" s="10"/>
      <c r="P117" s="7"/>
    </row>
    <row r="118" customFormat="false" ht="21.75" hidden="false" customHeight="true" outlineLevel="0" collapsed="false">
      <c r="B118" s="11"/>
      <c r="C118" s="11"/>
      <c r="D118" s="11" t="str">
        <f aca="false">IF($C118="","",IFERROR(VLOOKUP($C118,模型信息!$B$5:$C$24,2,0),"未登记"))</f>
        <v/>
      </c>
      <c r="E118" s="11"/>
      <c r="F118" s="11" t="str">
        <f aca="false">IF($E118="","",IFERROR(VLOOKUP($E118,题目信息!$B$5:$C$64,2,0),"未登记"))</f>
        <v/>
      </c>
      <c r="G118" s="16"/>
      <c r="H118" s="11"/>
      <c r="I118" s="11" t="str">
        <f aca="false">IF($E118="","",IFERROR(VLOOKUP($E118,题目信息!$B$5:$J$64,9,0),""))</f>
        <v/>
      </c>
      <c r="J118" s="12"/>
      <c r="K118" s="16" t="str">
        <f aca="false">IF($E118="","",IFERROR(VLOOKUP($E118,题目信息!$B$5:$L$64,11,0),10))</f>
        <v/>
      </c>
      <c r="L118" s="18" t="str">
        <f aca="false">IF(OR($J118="",$K118=""),"",$J118/$K118)</f>
        <v/>
      </c>
      <c r="M118" s="11"/>
      <c r="N118" s="11"/>
      <c r="O118" s="14"/>
      <c r="P118" s="11"/>
    </row>
    <row r="119" customFormat="false" ht="21.75" hidden="false" customHeight="true" outlineLevel="0" collapsed="false">
      <c r="B119" s="7"/>
      <c r="C119" s="7"/>
      <c r="D119" s="7" t="str">
        <f aca="false">IF($C119="","",IFERROR(VLOOKUP($C119,模型信息!$B$5:$C$24,2,0),"未登记"))</f>
        <v/>
      </c>
      <c r="E119" s="7"/>
      <c r="F119" s="7" t="str">
        <f aca="false">IF($E119="","",IFERROR(VLOOKUP($E119,题目信息!$B$5:$C$64,2,0),"未登记"))</f>
        <v/>
      </c>
      <c r="G119" s="15"/>
      <c r="H119" s="7"/>
      <c r="I119" s="7" t="str">
        <f aca="false">IF($E119="","",IFERROR(VLOOKUP($E119,题目信息!$B$5:$J$64,9,0),""))</f>
        <v/>
      </c>
      <c r="J119" s="8"/>
      <c r="K119" s="15" t="str">
        <f aca="false">IF($E119="","",IFERROR(VLOOKUP($E119,题目信息!$B$5:$L$64,11,0),10))</f>
        <v/>
      </c>
      <c r="L119" s="17" t="str">
        <f aca="false">IF(OR($J119="",$K119=""),"",$J119/$K119)</f>
        <v/>
      </c>
      <c r="M119" s="7"/>
      <c r="N119" s="7"/>
      <c r="O119" s="10"/>
      <c r="P119" s="7"/>
    </row>
    <row r="120" customFormat="false" ht="21.75" hidden="false" customHeight="true" outlineLevel="0" collapsed="false">
      <c r="B120" s="11"/>
      <c r="C120" s="11"/>
      <c r="D120" s="11" t="str">
        <f aca="false">IF($C120="","",IFERROR(VLOOKUP($C120,模型信息!$B$5:$C$24,2,0),"未登记"))</f>
        <v/>
      </c>
      <c r="E120" s="11"/>
      <c r="F120" s="11" t="str">
        <f aca="false">IF($E120="","",IFERROR(VLOOKUP($E120,题目信息!$B$5:$C$64,2,0),"未登记"))</f>
        <v/>
      </c>
      <c r="G120" s="16"/>
      <c r="H120" s="11"/>
      <c r="I120" s="11" t="str">
        <f aca="false">IF($E120="","",IFERROR(VLOOKUP($E120,题目信息!$B$5:$J$64,9,0),""))</f>
        <v/>
      </c>
      <c r="J120" s="12"/>
      <c r="K120" s="16" t="str">
        <f aca="false">IF($E120="","",IFERROR(VLOOKUP($E120,题目信息!$B$5:$L$64,11,0),10))</f>
        <v/>
      </c>
      <c r="L120" s="18" t="str">
        <f aca="false">IF(OR($J120="",$K120=""),"",$J120/$K120)</f>
        <v/>
      </c>
      <c r="M120" s="11"/>
      <c r="N120" s="11"/>
      <c r="O120" s="14"/>
      <c r="P120" s="11"/>
    </row>
    <row r="121" customFormat="false" ht="21.75" hidden="false" customHeight="true" outlineLevel="0" collapsed="false">
      <c r="B121" s="7"/>
      <c r="C121" s="7"/>
      <c r="D121" s="7" t="str">
        <f aca="false">IF($C121="","",IFERROR(VLOOKUP($C121,模型信息!$B$5:$C$24,2,0),"未登记"))</f>
        <v/>
      </c>
      <c r="E121" s="7"/>
      <c r="F121" s="7" t="str">
        <f aca="false">IF($E121="","",IFERROR(VLOOKUP($E121,题目信息!$B$5:$C$64,2,0),"未登记"))</f>
        <v/>
      </c>
      <c r="G121" s="15"/>
      <c r="H121" s="7"/>
      <c r="I121" s="7" t="str">
        <f aca="false">IF($E121="","",IFERROR(VLOOKUP($E121,题目信息!$B$5:$J$64,9,0),""))</f>
        <v/>
      </c>
      <c r="J121" s="8"/>
      <c r="K121" s="15" t="str">
        <f aca="false">IF($E121="","",IFERROR(VLOOKUP($E121,题目信息!$B$5:$L$64,11,0),10))</f>
        <v/>
      </c>
      <c r="L121" s="17" t="str">
        <f aca="false">IF(OR($J121="",$K121=""),"",$J121/$K121)</f>
        <v/>
      </c>
      <c r="M121" s="7"/>
      <c r="N121" s="7"/>
      <c r="O121" s="10"/>
      <c r="P121" s="7"/>
    </row>
    <row r="122" customFormat="false" ht="21.75" hidden="false" customHeight="true" outlineLevel="0" collapsed="false">
      <c r="B122" s="11"/>
      <c r="C122" s="11"/>
      <c r="D122" s="11" t="str">
        <f aca="false">IF($C122="","",IFERROR(VLOOKUP($C122,模型信息!$B$5:$C$24,2,0),"未登记"))</f>
        <v/>
      </c>
      <c r="E122" s="11"/>
      <c r="F122" s="11" t="str">
        <f aca="false">IF($E122="","",IFERROR(VLOOKUP($E122,题目信息!$B$5:$C$64,2,0),"未登记"))</f>
        <v/>
      </c>
      <c r="G122" s="16"/>
      <c r="H122" s="11"/>
      <c r="I122" s="11" t="str">
        <f aca="false">IF($E122="","",IFERROR(VLOOKUP($E122,题目信息!$B$5:$J$64,9,0),""))</f>
        <v/>
      </c>
      <c r="J122" s="12"/>
      <c r="K122" s="16" t="str">
        <f aca="false">IF($E122="","",IFERROR(VLOOKUP($E122,题目信息!$B$5:$L$64,11,0),10))</f>
        <v/>
      </c>
      <c r="L122" s="18" t="str">
        <f aca="false">IF(OR($J122="",$K122=""),"",$J122/$K122)</f>
        <v/>
      </c>
      <c r="M122" s="11"/>
      <c r="N122" s="11"/>
      <c r="O122" s="14"/>
      <c r="P122" s="11"/>
    </row>
    <row r="123" customFormat="false" ht="21.75" hidden="false" customHeight="true" outlineLevel="0" collapsed="false">
      <c r="B123" s="7"/>
      <c r="C123" s="7"/>
      <c r="D123" s="7" t="str">
        <f aca="false">IF($C123="","",IFERROR(VLOOKUP($C123,模型信息!$B$5:$C$24,2,0),"未登记"))</f>
        <v/>
      </c>
      <c r="E123" s="7"/>
      <c r="F123" s="7" t="str">
        <f aca="false">IF($E123="","",IFERROR(VLOOKUP($E123,题目信息!$B$5:$C$64,2,0),"未登记"))</f>
        <v/>
      </c>
      <c r="G123" s="15"/>
      <c r="H123" s="7"/>
      <c r="I123" s="7" t="str">
        <f aca="false">IF($E123="","",IFERROR(VLOOKUP($E123,题目信息!$B$5:$J$64,9,0),""))</f>
        <v/>
      </c>
      <c r="J123" s="8"/>
      <c r="K123" s="15" t="str">
        <f aca="false">IF($E123="","",IFERROR(VLOOKUP($E123,题目信息!$B$5:$L$64,11,0),10))</f>
        <v/>
      </c>
      <c r="L123" s="17" t="str">
        <f aca="false">IF(OR($J123="",$K123=""),"",$J123/$K123)</f>
        <v/>
      </c>
      <c r="M123" s="7"/>
      <c r="N123" s="7"/>
      <c r="O123" s="10"/>
      <c r="P123" s="7"/>
    </row>
    <row r="124" customFormat="false" ht="21.75" hidden="false" customHeight="true" outlineLevel="0" collapsed="false">
      <c r="B124" s="11"/>
      <c r="C124" s="11"/>
      <c r="D124" s="11" t="str">
        <f aca="false">IF($C124="","",IFERROR(VLOOKUP($C124,模型信息!$B$5:$C$24,2,0),"未登记"))</f>
        <v/>
      </c>
      <c r="E124" s="11"/>
      <c r="F124" s="11" t="str">
        <f aca="false">IF($E124="","",IFERROR(VLOOKUP($E124,题目信息!$B$5:$C$64,2,0),"未登记"))</f>
        <v/>
      </c>
      <c r="G124" s="16"/>
      <c r="H124" s="11"/>
      <c r="I124" s="11" t="str">
        <f aca="false">IF($E124="","",IFERROR(VLOOKUP($E124,题目信息!$B$5:$J$64,9,0),""))</f>
        <v/>
      </c>
      <c r="J124" s="12"/>
      <c r="K124" s="16" t="str">
        <f aca="false">IF($E124="","",IFERROR(VLOOKUP($E124,题目信息!$B$5:$L$64,11,0),10))</f>
        <v/>
      </c>
      <c r="L124" s="18" t="str">
        <f aca="false">IF(OR($J124="",$K124=""),"",$J124/$K124)</f>
        <v/>
      </c>
      <c r="M124" s="11"/>
      <c r="N124" s="11"/>
      <c r="O124" s="14"/>
      <c r="P124" s="11"/>
    </row>
  </sheetData>
  <autoFilter ref="B4:P124"/>
  <mergeCells count="1">
    <mergeCell ref="B2:P2"/>
  </mergeCells>
  <dataValidations count="4">
    <dataValidation allowBlank="true" errorStyle="stop" operator="between" showDropDown="false" showErrorMessage="false" showInputMessage="false" sqref="C5:C124" type="list">
      <formula1>模型信息!$B$5:$B$24</formula1>
      <formula2>0</formula2>
    </dataValidation>
    <dataValidation allowBlank="true" errorStyle="stop" operator="between" showDropDown="false" showErrorMessage="false" showInputMessage="false" sqref="E5:E124" type="list">
      <formula1>题目信息!$B$5:$B$64</formula1>
      <formula2>0</formula2>
    </dataValidation>
    <dataValidation allowBlank="true" error="请从下拉列表中选择" errorStyle="stop" errorTitle="无效输入" operator="between" showDropDown="false" showErrorMessage="false" showInputMessage="false" sqref="G5:G124" type="list">
      <formula1>"1,2,3"</formula1>
      <formula2>0</formula2>
    </dataValidation>
    <dataValidation allowBlank="true" error="请从下拉列表中选择" errorStyle="stop" errorTitle="无效输入" operator="between" showDropDown="false" showErrorMessage="false" showInputMessage="false" sqref="M5:M124" type="list">
      <formula1>"规则自动判分,LLM评审,人工评分"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1:R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8.19"/>
    <col collapsed="false" customWidth="true" hidden="false" outlineLevel="0" max="3" min="3" style="0" width="14.56"/>
    <col collapsed="false" customWidth="true" hidden="false" outlineLevel="0" max="15" min="4" style="0" width="10.01"/>
    <col collapsed="false" customWidth="true" hidden="false" outlineLevel="0" max="17" min="16" style="0" width="10.92"/>
    <col collapsed="false" customWidth="true" hidden="false" outlineLevel="0" max="18" min="18" style="0" width="6.37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46</v>
      </c>
      <c r="C4" s="4" t="s">
        <v>47</v>
      </c>
      <c r="D4" s="4" t="s">
        <v>103</v>
      </c>
      <c r="E4" s="4" t="s">
        <v>132</v>
      </c>
      <c r="F4" s="4" t="s">
        <v>133</v>
      </c>
      <c r="G4" s="4" t="s">
        <v>134</v>
      </c>
      <c r="H4" s="4" t="s">
        <v>135</v>
      </c>
      <c r="I4" s="4" t="s">
        <v>136</v>
      </c>
      <c r="J4" s="4" t="s">
        <v>137</v>
      </c>
      <c r="K4" s="4" t="s">
        <v>138</v>
      </c>
      <c r="L4" s="4" t="s">
        <v>139</v>
      </c>
      <c r="M4" s="4" t="s">
        <v>140</v>
      </c>
      <c r="N4" s="4" t="s">
        <v>141</v>
      </c>
      <c r="O4" s="4" t="s">
        <v>142</v>
      </c>
      <c r="P4" s="4" t="s">
        <v>143</v>
      </c>
      <c r="Q4" s="4" t="s">
        <v>144</v>
      </c>
      <c r="R4" s="4" t="s">
        <v>145</v>
      </c>
    </row>
    <row r="5" customFormat="false" ht="21.75" hidden="false" customHeight="true" outlineLevel="0" collapsed="false">
      <c r="B5" s="7" t="str">
        <f aca="false">IF(模型信息!B5="","",模型信息!B5)</f>
        <v>M01</v>
      </c>
      <c r="C5" s="7" t="str">
        <f aca="false">IF($B5="","",IFERROR(VLOOKUP($B5,模型信息!$B$5:$C$24,2,0),""))</f>
        <v>GLM-5</v>
      </c>
      <c r="D5" s="17" t="n">
        <f aca="false">IF($B5="","",IFERROR(AVERAGEIFS(测试记录!$L$5:$L$124,测试记录!$C$5:$C$124,$B5,测试记录!$F$5:$F$124,D$4),""))</f>
        <v>0.8</v>
      </c>
      <c r="E5" s="17" t="str">
        <f aca="false">IF($B5="","",IFERROR(AVERAGEIFS(测试记录!$L$5:$L$124,测试记录!$C$5:$C$124,$B5,测试记录!$F$5:$F$124,E$4),""))</f>
        <v/>
      </c>
      <c r="F5" s="17" t="str">
        <f aca="false">IF($B5="","",IFERROR(AVERAGEIFS(测试记录!$L$5:$L$124,测试记录!$C$5:$C$124,$B5,测试记录!$F$5:$F$124,F$4),""))</f>
        <v/>
      </c>
      <c r="G5" s="17" t="str">
        <f aca="false">IF($B5="","",IFERROR(AVERAGEIFS(测试记录!$L$5:$L$124,测试记录!$C$5:$C$124,$B5,测试记录!$F$5:$F$124,G$4),""))</f>
        <v/>
      </c>
      <c r="H5" s="17" t="str">
        <f aca="false">IF($B5="","",IFERROR(AVERAGEIFS(测试记录!$L$5:$L$124,测试记录!$C$5:$C$124,$B5,测试记录!$F$5:$F$124,H$4),""))</f>
        <v/>
      </c>
      <c r="I5" s="17" t="str">
        <f aca="false">IF($B5="","",IFERROR(AVERAGEIFS(测试记录!$L$5:$L$124,测试记录!$C$5:$C$124,$B5,测试记录!$F$5:$F$124,I$4),""))</f>
        <v/>
      </c>
      <c r="J5" s="17" t="str">
        <f aca="false">IF($B5="","",IFERROR(AVERAGEIFS(测试记录!$L$5:$L$124,测试记录!$C$5:$C$124,$B5,测试记录!$F$5:$F$124,J$4),""))</f>
        <v/>
      </c>
      <c r="K5" s="17" t="str">
        <f aca="false">IF($B5="","",IFERROR(AVERAGEIFS(测试记录!$L$5:$L$124,测试记录!$C$5:$C$124,$B5,测试记录!$F$5:$F$124,K$4),""))</f>
        <v/>
      </c>
      <c r="L5" s="17" t="str">
        <f aca="false">IF($B5="","",IFERROR(AVERAGEIFS(测试记录!$L$5:$L$124,测试记录!$C$5:$C$124,$B5,测试记录!$F$5:$F$124,L$4),""))</f>
        <v/>
      </c>
      <c r="M5" s="17" t="str">
        <f aca="false">IF($B5="","",IFERROR(AVERAGEIFS(测试记录!$L$5:$L$124,测试记录!$C$5:$C$124,$B5,测试记录!$F$5:$F$124,M$4),""))</f>
        <v/>
      </c>
      <c r="N5" s="17" t="str">
        <f aca="false">IF($B5="","",IFERROR(AVERAGEIFS(测试记录!$L$5:$L$124,测试记录!$C$5:$C$124,$B5,测试记录!$F$5:$F$124,N$4),""))</f>
        <v/>
      </c>
      <c r="O5" s="17" t="str">
        <f aca="false">IF($B5="","",IFERROR(AVERAGEIFS(测试记录!$L$5:$L$124,测试记录!$C$5:$C$124,$B5,测试记录!$F$5:$F$124,O$4),""))</f>
        <v/>
      </c>
      <c r="P5" s="17" t="n">
        <f aca="false">IF($B5="","",IFERROR(AVERAGEIFS(测试记录!$L$5:$L$124,测试记录!$C$5:$C$124,$B5),""))</f>
        <v>0.8</v>
      </c>
      <c r="Q5" s="15" t="n">
        <f aca="false">IF($B5="","",COUNTIFS(测试记录!$C$5:$C$124,$B5))</f>
        <v>1</v>
      </c>
      <c r="R5" s="15" t="n">
        <f aca="false">IF($P5="","",IFERROR(RANK($P5,$P$5:$P$24),""))</f>
        <v>1</v>
      </c>
    </row>
    <row r="6" customFormat="false" ht="21.75" hidden="false" customHeight="true" outlineLevel="0" collapsed="false">
      <c r="B6" s="11" t="str">
        <f aca="false">IF(模型信息!B6="","",模型信息!B6)</f>
        <v>M02</v>
      </c>
      <c r="C6" s="11" t="str">
        <f aca="false">IF($B6="","",IFERROR(VLOOKUP($B6,模型信息!$B$5:$C$24,2,0),""))</f>
        <v>GPT-5</v>
      </c>
      <c r="D6" s="18" t="n">
        <f aca="false">IF($B6="","",IFERROR(AVERAGEIFS(测试记录!$L$5:$L$124,测试记录!$C$5:$C$124,$B6,测试记录!$F$5:$F$124,D$4),""))</f>
        <v>0.6</v>
      </c>
      <c r="E6" s="18" t="str">
        <f aca="false">IF($B6="","",IFERROR(AVERAGEIFS(测试记录!$L$5:$L$124,测试记录!$C$5:$C$124,$B6,测试记录!$F$5:$F$124,E$4),""))</f>
        <v/>
      </c>
      <c r="F6" s="18" t="str">
        <f aca="false">IF($B6="","",IFERROR(AVERAGEIFS(测试记录!$L$5:$L$124,测试记录!$C$5:$C$124,$B6,测试记录!$F$5:$F$124,F$4),""))</f>
        <v/>
      </c>
      <c r="G6" s="18" t="str">
        <f aca="false">IF($B6="","",IFERROR(AVERAGEIFS(测试记录!$L$5:$L$124,测试记录!$C$5:$C$124,$B6,测试记录!$F$5:$F$124,G$4),""))</f>
        <v/>
      </c>
      <c r="H6" s="18" t="str">
        <f aca="false">IF($B6="","",IFERROR(AVERAGEIFS(测试记录!$L$5:$L$124,测试记录!$C$5:$C$124,$B6,测试记录!$F$5:$F$124,H$4),""))</f>
        <v/>
      </c>
      <c r="I6" s="18" t="str">
        <f aca="false">IF($B6="","",IFERROR(AVERAGEIFS(测试记录!$L$5:$L$124,测试记录!$C$5:$C$124,$B6,测试记录!$F$5:$F$124,I$4),""))</f>
        <v/>
      </c>
      <c r="J6" s="18" t="str">
        <f aca="false">IF($B6="","",IFERROR(AVERAGEIFS(测试记录!$L$5:$L$124,测试记录!$C$5:$C$124,$B6,测试记录!$F$5:$F$124,J$4),""))</f>
        <v/>
      </c>
      <c r="K6" s="18" t="str">
        <f aca="false">IF($B6="","",IFERROR(AVERAGEIFS(测试记录!$L$5:$L$124,测试记录!$C$5:$C$124,$B6,测试记录!$F$5:$F$124,K$4),""))</f>
        <v/>
      </c>
      <c r="L6" s="18" t="str">
        <f aca="false">IF($B6="","",IFERROR(AVERAGEIFS(测试记录!$L$5:$L$124,测试记录!$C$5:$C$124,$B6,测试记录!$F$5:$F$124,L$4),""))</f>
        <v/>
      </c>
      <c r="M6" s="18" t="str">
        <f aca="false">IF($B6="","",IFERROR(AVERAGEIFS(测试记录!$L$5:$L$124,测试记录!$C$5:$C$124,$B6,测试记录!$F$5:$F$124,M$4),""))</f>
        <v/>
      </c>
      <c r="N6" s="18" t="str">
        <f aca="false">IF($B6="","",IFERROR(AVERAGEIFS(测试记录!$L$5:$L$124,测试记录!$C$5:$C$124,$B6,测试记录!$F$5:$F$124,N$4),""))</f>
        <v/>
      </c>
      <c r="O6" s="18" t="str">
        <f aca="false">IF($B6="","",IFERROR(AVERAGEIFS(测试记录!$L$5:$L$124,测试记录!$C$5:$C$124,$B6,测试记录!$F$5:$F$124,O$4),""))</f>
        <v/>
      </c>
      <c r="P6" s="18" t="n">
        <f aca="false">IF($B6="","",IFERROR(AVERAGEIFS(测试记录!$L$5:$L$124,测试记录!$C$5:$C$124,$B6),""))</f>
        <v>0.6</v>
      </c>
      <c r="Q6" s="16" t="n">
        <f aca="false">IF($B6="","",COUNTIFS(测试记录!$C$5:$C$124,$B6))</f>
        <v>1</v>
      </c>
      <c r="R6" s="16" t="n">
        <f aca="false">IF($P6="","",IFERROR(RANK($P6,$P$5:$P$24),""))</f>
        <v>2</v>
      </c>
    </row>
    <row r="7" customFormat="false" ht="21.75" hidden="false" customHeight="true" outlineLevel="0" collapsed="false">
      <c r="B7" s="7" t="str">
        <f aca="false">IF(模型信息!B7="","",模型信息!B7)</f>
        <v>M03</v>
      </c>
      <c r="C7" s="7" t="str">
        <f aca="false">IF($B7="","",IFERROR(VLOOKUP($B7,模型信息!$B$5:$C$24,2,0),""))</f>
        <v>Claude Opus 4.5</v>
      </c>
      <c r="D7" s="17" t="str">
        <f aca="false">IF($B7="","",IFERROR(AVERAGEIFS(测试记录!$L$5:$L$124,测试记录!$C$5:$C$124,$B7,测试记录!$F$5:$F$124,D$4),""))</f>
        <v/>
      </c>
      <c r="E7" s="17" t="str">
        <f aca="false">IF($B7="","",IFERROR(AVERAGEIFS(测试记录!$L$5:$L$124,测试记录!$C$5:$C$124,$B7,测试记录!$F$5:$F$124,E$4),""))</f>
        <v/>
      </c>
      <c r="F7" s="17" t="str">
        <f aca="false">IF($B7="","",IFERROR(AVERAGEIFS(测试记录!$L$5:$L$124,测试记录!$C$5:$C$124,$B7,测试记录!$F$5:$F$124,F$4),""))</f>
        <v/>
      </c>
      <c r="G7" s="17" t="str">
        <f aca="false">IF($B7="","",IFERROR(AVERAGEIFS(测试记录!$L$5:$L$124,测试记录!$C$5:$C$124,$B7,测试记录!$F$5:$F$124,G$4),""))</f>
        <v/>
      </c>
      <c r="H7" s="17" t="str">
        <f aca="false">IF($B7="","",IFERROR(AVERAGEIFS(测试记录!$L$5:$L$124,测试记录!$C$5:$C$124,$B7,测试记录!$F$5:$F$124,H$4),""))</f>
        <v/>
      </c>
      <c r="I7" s="17" t="str">
        <f aca="false">IF($B7="","",IFERROR(AVERAGEIFS(测试记录!$L$5:$L$124,测试记录!$C$5:$C$124,$B7,测试记录!$F$5:$F$124,I$4),""))</f>
        <v/>
      </c>
      <c r="J7" s="17" t="str">
        <f aca="false">IF($B7="","",IFERROR(AVERAGEIFS(测试记录!$L$5:$L$124,测试记录!$C$5:$C$124,$B7,测试记录!$F$5:$F$124,J$4),""))</f>
        <v/>
      </c>
      <c r="K7" s="17" t="str">
        <f aca="false">IF($B7="","",IFERROR(AVERAGEIFS(测试记录!$L$5:$L$124,测试记录!$C$5:$C$124,$B7,测试记录!$F$5:$F$124,K$4),""))</f>
        <v/>
      </c>
      <c r="L7" s="17" t="str">
        <f aca="false">IF($B7="","",IFERROR(AVERAGEIFS(测试记录!$L$5:$L$124,测试记录!$C$5:$C$124,$B7,测试记录!$F$5:$F$124,L$4),""))</f>
        <v/>
      </c>
      <c r="M7" s="17" t="str">
        <f aca="false">IF($B7="","",IFERROR(AVERAGEIFS(测试记录!$L$5:$L$124,测试记录!$C$5:$C$124,$B7,测试记录!$F$5:$F$124,M$4),""))</f>
        <v/>
      </c>
      <c r="N7" s="17" t="str">
        <f aca="false">IF($B7="","",IFERROR(AVERAGEIFS(测试记录!$L$5:$L$124,测试记录!$C$5:$C$124,$B7,测试记录!$F$5:$F$124,N$4),""))</f>
        <v/>
      </c>
      <c r="O7" s="17" t="str">
        <f aca="false">IF($B7="","",IFERROR(AVERAGEIFS(测试记录!$L$5:$L$124,测试记录!$C$5:$C$124,$B7,测试记录!$F$5:$F$124,O$4),""))</f>
        <v/>
      </c>
      <c r="P7" s="17" t="str">
        <f aca="false">IF($B7="","",IFERROR(AVERAGEIFS(测试记录!$L$5:$L$124,测试记录!$C$5:$C$124,$B7),""))</f>
        <v/>
      </c>
      <c r="Q7" s="15" t="n">
        <f aca="false">IF($B7="","",COUNTIFS(测试记录!$C$5:$C$124,$B7))</f>
        <v>0</v>
      </c>
      <c r="R7" s="15" t="str">
        <f aca="false">IF($P7="","",IFERROR(RANK($P7,$P$5:$P$24),""))</f>
        <v/>
      </c>
    </row>
    <row r="8" customFormat="false" ht="21.75" hidden="false" customHeight="true" outlineLevel="0" collapsed="false">
      <c r="B8" s="11" t="str">
        <f aca="false">IF(模型信息!B8="","",模型信息!B8)</f>
        <v>M04</v>
      </c>
      <c r="C8" s="11" t="str">
        <f aca="false">IF($B8="","",IFERROR(VLOOKUP($B8,模型信息!$B$5:$C$24,2,0),""))</f>
        <v>Gemini 3 Pro</v>
      </c>
      <c r="D8" s="18" t="str">
        <f aca="false">IF($B8="","",IFERROR(AVERAGEIFS(测试记录!$L$5:$L$124,测试记录!$C$5:$C$124,$B8,测试记录!$F$5:$F$124,D$4),""))</f>
        <v/>
      </c>
      <c r="E8" s="18" t="str">
        <f aca="false">IF($B8="","",IFERROR(AVERAGEIFS(测试记录!$L$5:$L$124,测试记录!$C$5:$C$124,$B8,测试记录!$F$5:$F$124,E$4),""))</f>
        <v/>
      </c>
      <c r="F8" s="18" t="str">
        <f aca="false">IF($B8="","",IFERROR(AVERAGEIFS(测试记录!$L$5:$L$124,测试记录!$C$5:$C$124,$B8,测试记录!$F$5:$F$124,F$4),""))</f>
        <v/>
      </c>
      <c r="G8" s="18" t="str">
        <f aca="false">IF($B8="","",IFERROR(AVERAGEIFS(测试记录!$L$5:$L$124,测试记录!$C$5:$C$124,$B8,测试记录!$F$5:$F$124,G$4),""))</f>
        <v/>
      </c>
      <c r="H8" s="18" t="str">
        <f aca="false">IF($B8="","",IFERROR(AVERAGEIFS(测试记录!$L$5:$L$124,测试记录!$C$5:$C$124,$B8,测试记录!$F$5:$F$124,H$4),""))</f>
        <v/>
      </c>
      <c r="I8" s="18" t="str">
        <f aca="false">IF($B8="","",IFERROR(AVERAGEIFS(测试记录!$L$5:$L$124,测试记录!$C$5:$C$124,$B8,测试记录!$F$5:$F$124,I$4),""))</f>
        <v/>
      </c>
      <c r="J8" s="18" t="str">
        <f aca="false">IF($B8="","",IFERROR(AVERAGEIFS(测试记录!$L$5:$L$124,测试记录!$C$5:$C$124,$B8,测试记录!$F$5:$F$124,J$4),""))</f>
        <v/>
      </c>
      <c r="K8" s="18" t="str">
        <f aca="false">IF($B8="","",IFERROR(AVERAGEIFS(测试记录!$L$5:$L$124,测试记录!$C$5:$C$124,$B8,测试记录!$F$5:$F$124,K$4),""))</f>
        <v/>
      </c>
      <c r="L8" s="18" t="str">
        <f aca="false">IF($B8="","",IFERROR(AVERAGEIFS(测试记录!$L$5:$L$124,测试记录!$C$5:$C$124,$B8,测试记录!$F$5:$F$124,L$4),""))</f>
        <v/>
      </c>
      <c r="M8" s="18" t="str">
        <f aca="false">IF($B8="","",IFERROR(AVERAGEIFS(测试记录!$L$5:$L$124,测试记录!$C$5:$C$124,$B8,测试记录!$F$5:$F$124,M$4),""))</f>
        <v/>
      </c>
      <c r="N8" s="18" t="str">
        <f aca="false">IF($B8="","",IFERROR(AVERAGEIFS(测试记录!$L$5:$L$124,测试记录!$C$5:$C$124,$B8,测试记录!$F$5:$F$124,N$4),""))</f>
        <v/>
      </c>
      <c r="O8" s="18" t="str">
        <f aca="false">IF($B8="","",IFERROR(AVERAGEIFS(测试记录!$L$5:$L$124,测试记录!$C$5:$C$124,$B8,测试记录!$F$5:$F$124,O$4),""))</f>
        <v/>
      </c>
      <c r="P8" s="18" t="str">
        <f aca="false">IF($B8="","",IFERROR(AVERAGEIFS(测试记录!$L$5:$L$124,测试记录!$C$5:$C$124,$B8),""))</f>
        <v/>
      </c>
      <c r="Q8" s="16" t="n">
        <f aca="false">IF($B8="","",COUNTIFS(测试记录!$C$5:$C$124,$B8))</f>
        <v>0</v>
      </c>
      <c r="R8" s="16" t="str">
        <f aca="false">IF($P8="","",IFERROR(RANK($P8,$P$5:$P$24),""))</f>
        <v/>
      </c>
    </row>
    <row r="9" customFormat="false" ht="21.75" hidden="false" customHeight="true" outlineLevel="0" collapsed="false">
      <c r="B9" s="7" t="str">
        <f aca="false">IF(模型信息!B9="","",模型信息!B9)</f>
        <v>M05</v>
      </c>
      <c r="C9" s="7" t="str">
        <f aca="false">IF($B9="","",IFERROR(VLOOKUP($B9,模型信息!$B$5:$C$24,2,0),""))</f>
        <v>DeepSeek-V3.2</v>
      </c>
      <c r="D9" s="17" t="str">
        <f aca="false">IF($B9="","",IFERROR(AVERAGEIFS(测试记录!$L$5:$L$124,测试记录!$C$5:$C$124,$B9,测试记录!$F$5:$F$124,D$4),""))</f>
        <v/>
      </c>
      <c r="E9" s="17" t="str">
        <f aca="false">IF($B9="","",IFERROR(AVERAGEIFS(测试记录!$L$5:$L$124,测试记录!$C$5:$C$124,$B9,测试记录!$F$5:$F$124,E$4),""))</f>
        <v/>
      </c>
      <c r="F9" s="17" t="str">
        <f aca="false">IF($B9="","",IFERROR(AVERAGEIFS(测试记录!$L$5:$L$124,测试记录!$C$5:$C$124,$B9,测试记录!$F$5:$F$124,F$4),""))</f>
        <v/>
      </c>
      <c r="G9" s="17" t="str">
        <f aca="false">IF($B9="","",IFERROR(AVERAGEIFS(测试记录!$L$5:$L$124,测试记录!$C$5:$C$124,$B9,测试记录!$F$5:$F$124,G$4),""))</f>
        <v/>
      </c>
      <c r="H9" s="17" t="str">
        <f aca="false">IF($B9="","",IFERROR(AVERAGEIFS(测试记录!$L$5:$L$124,测试记录!$C$5:$C$124,$B9,测试记录!$F$5:$F$124,H$4),""))</f>
        <v/>
      </c>
      <c r="I9" s="17" t="str">
        <f aca="false">IF($B9="","",IFERROR(AVERAGEIFS(测试记录!$L$5:$L$124,测试记录!$C$5:$C$124,$B9,测试记录!$F$5:$F$124,I$4),""))</f>
        <v/>
      </c>
      <c r="J9" s="17" t="str">
        <f aca="false">IF($B9="","",IFERROR(AVERAGEIFS(测试记录!$L$5:$L$124,测试记录!$C$5:$C$124,$B9,测试记录!$F$5:$F$124,J$4),""))</f>
        <v/>
      </c>
      <c r="K9" s="17" t="str">
        <f aca="false">IF($B9="","",IFERROR(AVERAGEIFS(测试记录!$L$5:$L$124,测试记录!$C$5:$C$124,$B9,测试记录!$F$5:$F$124,K$4),""))</f>
        <v/>
      </c>
      <c r="L9" s="17" t="str">
        <f aca="false">IF($B9="","",IFERROR(AVERAGEIFS(测试记录!$L$5:$L$124,测试记录!$C$5:$C$124,$B9,测试记录!$F$5:$F$124,L$4),""))</f>
        <v/>
      </c>
      <c r="M9" s="17" t="str">
        <f aca="false">IF($B9="","",IFERROR(AVERAGEIFS(测试记录!$L$5:$L$124,测试记录!$C$5:$C$124,$B9,测试记录!$F$5:$F$124,M$4),""))</f>
        <v/>
      </c>
      <c r="N9" s="17" t="str">
        <f aca="false">IF($B9="","",IFERROR(AVERAGEIFS(测试记录!$L$5:$L$124,测试记录!$C$5:$C$124,$B9,测试记录!$F$5:$F$124,N$4),""))</f>
        <v/>
      </c>
      <c r="O9" s="17" t="str">
        <f aca="false">IF($B9="","",IFERROR(AVERAGEIFS(测试记录!$L$5:$L$124,测试记录!$C$5:$C$124,$B9,测试记录!$F$5:$F$124,O$4),""))</f>
        <v/>
      </c>
      <c r="P9" s="17" t="str">
        <f aca="false">IF($B9="","",IFERROR(AVERAGEIFS(测试记录!$L$5:$L$124,测试记录!$C$5:$C$124,$B9),""))</f>
        <v/>
      </c>
      <c r="Q9" s="15" t="n">
        <f aca="false">IF($B9="","",COUNTIFS(测试记录!$C$5:$C$124,$B9))</f>
        <v>0</v>
      </c>
      <c r="R9" s="15" t="str">
        <f aca="false">IF($P9="","",IFERROR(RANK($P9,$P$5:$P$24),""))</f>
        <v/>
      </c>
    </row>
    <row r="10" customFormat="false" ht="21.75" hidden="false" customHeight="true" outlineLevel="0" collapsed="false">
      <c r="B10" s="11" t="str">
        <f aca="false">IF(模型信息!B10="","",模型信息!B10)</f>
        <v>M06</v>
      </c>
      <c r="C10" s="11" t="str">
        <f aca="false">IF($B10="","",IFERROR(VLOOKUP($B10,模型信息!$B$5:$C$24,2,0),""))</f>
        <v>Qwen3-Max</v>
      </c>
      <c r="D10" s="18" t="str">
        <f aca="false">IF($B10="","",IFERROR(AVERAGEIFS(测试记录!$L$5:$L$124,测试记录!$C$5:$C$124,$B10,测试记录!$F$5:$F$124,D$4),""))</f>
        <v/>
      </c>
      <c r="E10" s="18" t="str">
        <f aca="false">IF($B10="","",IFERROR(AVERAGEIFS(测试记录!$L$5:$L$124,测试记录!$C$5:$C$124,$B10,测试记录!$F$5:$F$124,E$4),""))</f>
        <v/>
      </c>
      <c r="F10" s="18" t="str">
        <f aca="false">IF($B10="","",IFERROR(AVERAGEIFS(测试记录!$L$5:$L$124,测试记录!$C$5:$C$124,$B10,测试记录!$F$5:$F$124,F$4),""))</f>
        <v/>
      </c>
      <c r="G10" s="18" t="str">
        <f aca="false">IF($B10="","",IFERROR(AVERAGEIFS(测试记录!$L$5:$L$124,测试记录!$C$5:$C$124,$B10,测试记录!$F$5:$F$124,G$4),""))</f>
        <v/>
      </c>
      <c r="H10" s="18" t="str">
        <f aca="false">IF($B10="","",IFERROR(AVERAGEIFS(测试记录!$L$5:$L$124,测试记录!$C$5:$C$124,$B10,测试记录!$F$5:$F$124,H$4),""))</f>
        <v/>
      </c>
      <c r="I10" s="18" t="str">
        <f aca="false">IF($B10="","",IFERROR(AVERAGEIFS(测试记录!$L$5:$L$124,测试记录!$C$5:$C$124,$B10,测试记录!$F$5:$F$124,I$4),""))</f>
        <v/>
      </c>
      <c r="J10" s="18" t="str">
        <f aca="false">IF($B10="","",IFERROR(AVERAGEIFS(测试记录!$L$5:$L$124,测试记录!$C$5:$C$124,$B10,测试记录!$F$5:$F$124,J$4),""))</f>
        <v/>
      </c>
      <c r="K10" s="18" t="str">
        <f aca="false">IF($B10="","",IFERROR(AVERAGEIFS(测试记录!$L$5:$L$124,测试记录!$C$5:$C$124,$B10,测试记录!$F$5:$F$124,K$4),""))</f>
        <v/>
      </c>
      <c r="L10" s="18" t="str">
        <f aca="false">IF($B10="","",IFERROR(AVERAGEIFS(测试记录!$L$5:$L$124,测试记录!$C$5:$C$124,$B10,测试记录!$F$5:$F$124,L$4),""))</f>
        <v/>
      </c>
      <c r="M10" s="18" t="str">
        <f aca="false">IF($B10="","",IFERROR(AVERAGEIFS(测试记录!$L$5:$L$124,测试记录!$C$5:$C$124,$B10,测试记录!$F$5:$F$124,M$4),""))</f>
        <v/>
      </c>
      <c r="N10" s="18" t="str">
        <f aca="false">IF($B10="","",IFERROR(AVERAGEIFS(测试记录!$L$5:$L$124,测试记录!$C$5:$C$124,$B10,测试记录!$F$5:$F$124,N$4),""))</f>
        <v/>
      </c>
      <c r="O10" s="18" t="str">
        <f aca="false">IF($B10="","",IFERROR(AVERAGEIFS(测试记录!$L$5:$L$124,测试记录!$C$5:$C$124,$B10,测试记录!$F$5:$F$124,O$4),""))</f>
        <v/>
      </c>
      <c r="P10" s="18" t="str">
        <f aca="false">IF($B10="","",IFERROR(AVERAGEIFS(测试记录!$L$5:$L$124,测试记录!$C$5:$C$124,$B10),""))</f>
        <v/>
      </c>
      <c r="Q10" s="16" t="n">
        <f aca="false">IF($B10="","",COUNTIFS(测试记录!$C$5:$C$124,$B10))</f>
        <v>0</v>
      </c>
      <c r="R10" s="16" t="str">
        <f aca="false">IF($P10="","",IFERROR(RANK($P10,$P$5:$P$24),""))</f>
        <v/>
      </c>
    </row>
    <row r="11" customFormat="false" ht="21.75" hidden="false" customHeight="true" outlineLevel="0" collapsed="false">
      <c r="B11" s="7" t="str">
        <f aca="false">IF(模型信息!B11="","",模型信息!B11)</f>
        <v>M07</v>
      </c>
      <c r="C11" s="7" t="str">
        <f aca="false">IF($B11="","",IFERROR(VLOOKUP($B11,模型信息!$B$5:$C$24,2,0),""))</f>
        <v>Kimi K2</v>
      </c>
      <c r="D11" s="17" t="str">
        <f aca="false">IF($B11="","",IFERROR(AVERAGEIFS(测试记录!$L$5:$L$124,测试记录!$C$5:$C$124,$B11,测试记录!$F$5:$F$124,D$4),""))</f>
        <v/>
      </c>
      <c r="E11" s="17" t="str">
        <f aca="false">IF($B11="","",IFERROR(AVERAGEIFS(测试记录!$L$5:$L$124,测试记录!$C$5:$C$124,$B11,测试记录!$F$5:$F$124,E$4),""))</f>
        <v/>
      </c>
      <c r="F11" s="17" t="str">
        <f aca="false">IF($B11="","",IFERROR(AVERAGEIFS(测试记录!$L$5:$L$124,测试记录!$C$5:$C$124,$B11,测试记录!$F$5:$F$124,F$4),""))</f>
        <v/>
      </c>
      <c r="G11" s="17" t="str">
        <f aca="false">IF($B11="","",IFERROR(AVERAGEIFS(测试记录!$L$5:$L$124,测试记录!$C$5:$C$124,$B11,测试记录!$F$5:$F$124,G$4),""))</f>
        <v/>
      </c>
      <c r="H11" s="17" t="str">
        <f aca="false">IF($B11="","",IFERROR(AVERAGEIFS(测试记录!$L$5:$L$124,测试记录!$C$5:$C$124,$B11,测试记录!$F$5:$F$124,H$4),""))</f>
        <v/>
      </c>
      <c r="I11" s="17" t="str">
        <f aca="false">IF($B11="","",IFERROR(AVERAGEIFS(测试记录!$L$5:$L$124,测试记录!$C$5:$C$124,$B11,测试记录!$F$5:$F$124,I$4),""))</f>
        <v/>
      </c>
      <c r="J11" s="17" t="str">
        <f aca="false">IF($B11="","",IFERROR(AVERAGEIFS(测试记录!$L$5:$L$124,测试记录!$C$5:$C$124,$B11,测试记录!$F$5:$F$124,J$4),""))</f>
        <v/>
      </c>
      <c r="K11" s="17" t="str">
        <f aca="false">IF($B11="","",IFERROR(AVERAGEIFS(测试记录!$L$5:$L$124,测试记录!$C$5:$C$124,$B11,测试记录!$F$5:$F$124,K$4),""))</f>
        <v/>
      </c>
      <c r="L11" s="17" t="str">
        <f aca="false">IF($B11="","",IFERROR(AVERAGEIFS(测试记录!$L$5:$L$124,测试记录!$C$5:$C$124,$B11,测试记录!$F$5:$F$124,L$4),""))</f>
        <v/>
      </c>
      <c r="M11" s="17" t="str">
        <f aca="false">IF($B11="","",IFERROR(AVERAGEIFS(测试记录!$L$5:$L$124,测试记录!$C$5:$C$124,$B11,测试记录!$F$5:$F$124,M$4),""))</f>
        <v/>
      </c>
      <c r="N11" s="17" t="str">
        <f aca="false">IF($B11="","",IFERROR(AVERAGEIFS(测试记录!$L$5:$L$124,测试记录!$C$5:$C$124,$B11,测试记录!$F$5:$F$124,N$4),""))</f>
        <v/>
      </c>
      <c r="O11" s="17" t="str">
        <f aca="false">IF($B11="","",IFERROR(AVERAGEIFS(测试记录!$L$5:$L$124,测试记录!$C$5:$C$124,$B11,测试记录!$F$5:$F$124,O$4),""))</f>
        <v/>
      </c>
      <c r="P11" s="17" t="str">
        <f aca="false">IF($B11="","",IFERROR(AVERAGEIFS(测试记录!$L$5:$L$124,测试记录!$C$5:$C$124,$B11),""))</f>
        <v/>
      </c>
      <c r="Q11" s="15" t="n">
        <f aca="false">IF($B11="","",COUNTIFS(测试记录!$C$5:$C$124,$B11))</f>
        <v>0</v>
      </c>
      <c r="R11" s="15" t="str">
        <f aca="false">IF($P11="","",IFERROR(RANK($P11,$P$5:$P$24),""))</f>
        <v/>
      </c>
    </row>
    <row r="12" customFormat="false" ht="21.75" hidden="false" customHeight="true" outlineLevel="0" collapsed="false">
      <c r="B12" s="11" t="str">
        <f aca="false">IF(模型信息!B12="","",模型信息!B12)</f>
        <v>M08</v>
      </c>
      <c r="C12" s="11" t="str">
        <f aca="false">IF($B12="","",IFERROR(VLOOKUP($B12,模型信息!$B$5:$C$24,2,0),""))</f>
        <v>豆包大模型</v>
      </c>
      <c r="D12" s="18" t="str">
        <f aca="false">IF($B12="","",IFERROR(AVERAGEIFS(测试记录!$L$5:$L$124,测试记录!$C$5:$C$124,$B12,测试记录!$F$5:$F$124,D$4),""))</f>
        <v/>
      </c>
      <c r="E12" s="18" t="str">
        <f aca="false">IF($B12="","",IFERROR(AVERAGEIFS(测试记录!$L$5:$L$124,测试记录!$C$5:$C$124,$B12,测试记录!$F$5:$F$124,E$4),""))</f>
        <v/>
      </c>
      <c r="F12" s="18" t="str">
        <f aca="false">IF($B12="","",IFERROR(AVERAGEIFS(测试记录!$L$5:$L$124,测试记录!$C$5:$C$124,$B12,测试记录!$F$5:$F$124,F$4),""))</f>
        <v/>
      </c>
      <c r="G12" s="18" t="str">
        <f aca="false">IF($B12="","",IFERROR(AVERAGEIFS(测试记录!$L$5:$L$124,测试记录!$C$5:$C$124,$B12,测试记录!$F$5:$F$124,G$4),""))</f>
        <v/>
      </c>
      <c r="H12" s="18" t="str">
        <f aca="false">IF($B12="","",IFERROR(AVERAGEIFS(测试记录!$L$5:$L$124,测试记录!$C$5:$C$124,$B12,测试记录!$F$5:$F$124,H$4),""))</f>
        <v/>
      </c>
      <c r="I12" s="18" t="str">
        <f aca="false">IF($B12="","",IFERROR(AVERAGEIFS(测试记录!$L$5:$L$124,测试记录!$C$5:$C$124,$B12,测试记录!$F$5:$F$124,I$4),""))</f>
        <v/>
      </c>
      <c r="J12" s="18" t="str">
        <f aca="false">IF($B12="","",IFERROR(AVERAGEIFS(测试记录!$L$5:$L$124,测试记录!$C$5:$C$124,$B12,测试记录!$F$5:$F$124,J$4),""))</f>
        <v/>
      </c>
      <c r="K12" s="18" t="str">
        <f aca="false">IF($B12="","",IFERROR(AVERAGEIFS(测试记录!$L$5:$L$124,测试记录!$C$5:$C$124,$B12,测试记录!$F$5:$F$124,K$4),""))</f>
        <v/>
      </c>
      <c r="L12" s="18" t="str">
        <f aca="false">IF($B12="","",IFERROR(AVERAGEIFS(测试记录!$L$5:$L$124,测试记录!$C$5:$C$124,$B12,测试记录!$F$5:$F$124,L$4),""))</f>
        <v/>
      </c>
      <c r="M12" s="18" t="str">
        <f aca="false">IF($B12="","",IFERROR(AVERAGEIFS(测试记录!$L$5:$L$124,测试记录!$C$5:$C$124,$B12,测试记录!$F$5:$F$124,M$4),""))</f>
        <v/>
      </c>
      <c r="N12" s="18" t="str">
        <f aca="false">IF($B12="","",IFERROR(AVERAGEIFS(测试记录!$L$5:$L$124,测试记录!$C$5:$C$124,$B12,测试记录!$F$5:$F$124,N$4),""))</f>
        <v/>
      </c>
      <c r="O12" s="18" t="str">
        <f aca="false">IF($B12="","",IFERROR(AVERAGEIFS(测试记录!$L$5:$L$124,测试记录!$C$5:$C$124,$B12,测试记录!$F$5:$F$124,O$4),""))</f>
        <v/>
      </c>
      <c r="P12" s="18" t="str">
        <f aca="false">IF($B12="","",IFERROR(AVERAGEIFS(测试记录!$L$5:$L$124,测试记录!$C$5:$C$124,$B12),""))</f>
        <v/>
      </c>
      <c r="Q12" s="16" t="n">
        <f aca="false">IF($B12="","",COUNTIFS(测试记录!$C$5:$C$124,$B12))</f>
        <v>0</v>
      </c>
      <c r="R12" s="16" t="str">
        <f aca="false">IF($P12="","",IFERROR(RANK($P12,$P$5:$P$24),""))</f>
        <v/>
      </c>
    </row>
    <row r="13" customFormat="false" ht="21.75" hidden="false" customHeight="true" outlineLevel="0" collapsed="false">
      <c r="B13" s="7" t="str">
        <f aca="false">IF(模型信息!B13="","",模型信息!B13)</f>
        <v/>
      </c>
      <c r="C13" s="7" t="str">
        <f aca="false">IF($B13="","",IFERROR(VLOOKUP($B13,模型信息!$B$5:$C$24,2,0),""))</f>
        <v/>
      </c>
      <c r="D13" s="17" t="str">
        <f aca="false">IF($B13="","",IFERROR(AVERAGEIFS(测试记录!$L$5:$L$124,测试记录!$C$5:$C$124,$B13,测试记录!$F$5:$F$124,D$4),""))</f>
        <v/>
      </c>
      <c r="E13" s="17" t="str">
        <f aca="false">IF($B13="","",IFERROR(AVERAGEIFS(测试记录!$L$5:$L$124,测试记录!$C$5:$C$124,$B13,测试记录!$F$5:$F$124,E$4),""))</f>
        <v/>
      </c>
      <c r="F13" s="17" t="str">
        <f aca="false">IF($B13="","",IFERROR(AVERAGEIFS(测试记录!$L$5:$L$124,测试记录!$C$5:$C$124,$B13,测试记录!$F$5:$F$124,F$4),""))</f>
        <v/>
      </c>
      <c r="G13" s="17" t="str">
        <f aca="false">IF($B13="","",IFERROR(AVERAGEIFS(测试记录!$L$5:$L$124,测试记录!$C$5:$C$124,$B13,测试记录!$F$5:$F$124,G$4),""))</f>
        <v/>
      </c>
      <c r="H13" s="17" t="str">
        <f aca="false">IF($B13="","",IFERROR(AVERAGEIFS(测试记录!$L$5:$L$124,测试记录!$C$5:$C$124,$B13,测试记录!$F$5:$F$124,H$4),""))</f>
        <v/>
      </c>
      <c r="I13" s="17" t="str">
        <f aca="false">IF($B13="","",IFERROR(AVERAGEIFS(测试记录!$L$5:$L$124,测试记录!$C$5:$C$124,$B13,测试记录!$F$5:$F$124,I$4),""))</f>
        <v/>
      </c>
      <c r="J13" s="17" t="str">
        <f aca="false">IF($B13="","",IFERROR(AVERAGEIFS(测试记录!$L$5:$L$124,测试记录!$C$5:$C$124,$B13,测试记录!$F$5:$F$124,J$4),""))</f>
        <v/>
      </c>
      <c r="K13" s="17" t="str">
        <f aca="false">IF($B13="","",IFERROR(AVERAGEIFS(测试记录!$L$5:$L$124,测试记录!$C$5:$C$124,$B13,测试记录!$F$5:$F$124,K$4),""))</f>
        <v/>
      </c>
      <c r="L13" s="17" t="str">
        <f aca="false">IF($B13="","",IFERROR(AVERAGEIFS(测试记录!$L$5:$L$124,测试记录!$C$5:$C$124,$B13,测试记录!$F$5:$F$124,L$4),""))</f>
        <v/>
      </c>
      <c r="M13" s="17" t="str">
        <f aca="false">IF($B13="","",IFERROR(AVERAGEIFS(测试记录!$L$5:$L$124,测试记录!$C$5:$C$124,$B13,测试记录!$F$5:$F$124,M$4),""))</f>
        <v/>
      </c>
      <c r="N13" s="17" t="str">
        <f aca="false">IF($B13="","",IFERROR(AVERAGEIFS(测试记录!$L$5:$L$124,测试记录!$C$5:$C$124,$B13,测试记录!$F$5:$F$124,N$4),""))</f>
        <v/>
      </c>
      <c r="O13" s="17" t="str">
        <f aca="false">IF($B13="","",IFERROR(AVERAGEIFS(测试记录!$L$5:$L$124,测试记录!$C$5:$C$124,$B13,测试记录!$F$5:$F$124,O$4),""))</f>
        <v/>
      </c>
      <c r="P13" s="17" t="str">
        <f aca="false">IF($B13="","",IFERROR(AVERAGEIFS(测试记录!$L$5:$L$124,测试记录!$C$5:$C$124,$B13),""))</f>
        <v/>
      </c>
      <c r="Q13" s="15" t="str">
        <f aca="false">IF($B13="","",COUNTIFS(测试记录!$C$5:$C$124,$B13))</f>
        <v/>
      </c>
      <c r="R13" s="15" t="str">
        <f aca="false">IF($P13="","",IFERROR(RANK($P13,$P$5:$P$24),""))</f>
        <v/>
      </c>
    </row>
    <row r="14" customFormat="false" ht="21.75" hidden="false" customHeight="true" outlineLevel="0" collapsed="false">
      <c r="B14" s="11" t="str">
        <f aca="false">IF(模型信息!B14="","",模型信息!B14)</f>
        <v/>
      </c>
      <c r="C14" s="11" t="str">
        <f aca="false">IF($B14="","",IFERROR(VLOOKUP($B14,模型信息!$B$5:$C$24,2,0),""))</f>
        <v/>
      </c>
      <c r="D14" s="18" t="str">
        <f aca="false">IF($B14="","",IFERROR(AVERAGEIFS(测试记录!$L$5:$L$124,测试记录!$C$5:$C$124,$B14,测试记录!$F$5:$F$124,D$4),""))</f>
        <v/>
      </c>
      <c r="E14" s="18" t="str">
        <f aca="false">IF($B14="","",IFERROR(AVERAGEIFS(测试记录!$L$5:$L$124,测试记录!$C$5:$C$124,$B14,测试记录!$F$5:$F$124,E$4),""))</f>
        <v/>
      </c>
      <c r="F14" s="18" t="str">
        <f aca="false">IF($B14="","",IFERROR(AVERAGEIFS(测试记录!$L$5:$L$124,测试记录!$C$5:$C$124,$B14,测试记录!$F$5:$F$124,F$4),""))</f>
        <v/>
      </c>
      <c r="G14" s="18" t="str">
        <f aca="false">IF($B14="","",IFERROR(AVERAGEIFS(测试记录!$L$5:$L$124,测试记录!$C$5:$C$124,$B14,测试记录!$F$5:$F$124,G$4),""))</f>
        <v/>
      </c>
      <c r="H14" s="18" t="str">
        <f aca="false">IF($B14="","",IFERROR(AVERAGEIFS(测试记录!$L$5:$L$124,测试记录!$C$5:$C$124,$B14,测试记录!$F$5:$F$124,H$4),""))</f>
        <v/>
      </c>
      <c r="I14" s="18" t="str">
        <f aca="false">IF($B14="","",IFERROR(AVERAGEIFS(测试记录!$L$5:$L$124,测试记录!$C$5:$C$124,$B14,测试记录!$F$5:$F$124,I$4),""))</f>
        <v/>
      </c>
      <c r="J14" s="18" t="str">
        <f aca="false">IF($B14="","",IFERROR(AVERAGEIFS(测试记录!$L$5:$L$124,测试记录!$C$5:$C$124,$B14,测试记录!$F$5:$F$124,J$4),""))</f>
        <v/>
      </c>
      <c r="K14" s="18" t="str">
        <f aca="false">IF($B14="","",IFERROR(AVERAGEIFS(测试记录!$L$5:$L$124,测试记录!$C$5:$C$124,$B14,测试记录!$F$5:$F$124,K$4),""))</f>
        <v/>
      </c>
      <c r="L14" s="18" t="str">
        <f aca="false">IF($B14="","",IFERROR(AVERAGEIFS(测试记录!$L$5:$L$124,测试记录!$C$5:$C$124,$B14,测试记录!$F$5:$F$124,L$4),""))</f>
        <v/>
      </c>
      <c r="M14" s="18" t="str">
        <f aca="false">IF($B14="","",IFERROR(AVERAGEIFS(测试记录!$L$5:$L$124,测试记录!$C$5:$C$124,$B14,测试记录!$F$5:$F$124,M$4),""))</f>
        <v/>
      </c>
      <c r="N14" s="18" t="str">
        <f aca="false">IF($B14="","",IFERROR(AVERAGEIFS(测试记录!$L$5:$L$124,测试记录!$C$5:$C$124,$B14,测试记录!$F$5:$F$124,N$4),""))</f>
        <v/>
      </c>
      <c r="O14" s="18" t="str">
        <f aca="false">IF($B14="","",IFERROR(AVERAGEIFS(测试记录!$L$5:$L$124,测试记录!$C$5:$C$124,$B14,测试记录!$F$5:$F$124,O$4),""))</f>
        <v/>
      </c>
      <c r="P14" s="18" t="str">
        <f aca="false">IF($B14="","",IFERROR(AVERAGEIFS(测试记录!$L$5:$L$124,测试记录!$C$5:$C$124,$B14),""))</f>
        <v/>
      </c>
      <c r="Q14" s="16" t="str">
        <f aca="false">IF($B14="","",COUNTIFS(测试记录!$C$5:$C$124,$B14))</f>
        <v/>
      </c>
      <c r="R14" s="16" t="str">
        <f aca="false">IF($P14="","",IFERROR(RANK($P14,$P$5:$P$24),""))</f>
        <v/>
      </c>
    </row>
    <row r="15" customFormat="false" ht="21.75" hidden="false" customHeight="true" outlineLevel="0" collapsed="false">
      <c r="B15" s="7" t="str">
        <f aca="false">IF(模型信息!B15="","",模型信息!B15)</f>
        <v/>
      </c>
      <c r="C15" s="7" t="str">
        <f aca="false">IF($B15="","",IFERROR(VLOOKUP($B15,模型信息!$B$5:$C$24,2,0),""))</f>
        <v/>
      </c>
      <c r="D15" s="17" t="str">
        <f aca="false">IF($B15="","",IFERROR(AVERAGEIFS(测试记录!$L$5:$L$124,测试记录!$C$5:$C$124,$B15,测试记录!$F$5:$F$124,D$4),""))</f>
        <v/>
      </c>
      <c r="E15" s="17" t="str">
        <f aca="false">IF($B15="","",IFERROR(AVERAGEIFS(测试记录!$L$5:$L$124,测试记录!$C$5:$C$124,$B15,测试记录!$F$5:$F$124,E$4),""))</f>
        <v/>
      </c>
      <c r="F15" s="17" t="str">
        <f aca="false">IF($B15="","",IFERROR(AVERAGEIFS(测试记录!$L$5:$L$124,测试记录!$C$5:$C$124,$B15,测试记录!$F$5:$F$124,F$4),""))</f>
        <v/>
      </c>
      <c r="G15" s="17" t="str">
        <f aca="false">IF($B15="","",IFERROR(AVERAGEIFS(测试记录!$L$5:$L$124,测试记录!$C$5:$C$124,$B15,测试记录!$F$5:$F$124,G$4),""))</f>
        <v/>
      </c>
      <c r="H15" s="17" t="str">
        <f aca="false">IF($B15="","",IFERROR(AVERAGEIFS(测试记录!$L$5:$L$124,测试记录!$C$5:$C$124,$B15,测试记录!$F$5:$F$124,H$4),""))</f>
        <v/>
      </c>
      <c r="I15" s="17" t="str">
        <f aca="false">IF($B15="","",IFERROR(AVERAGEIFS(测试记录!$L$5:$L$124,测试记录!$C$5:$C$124,$B15,测试记录!$F$5:$F$124,I$4),""))</f>
        <v/>
      </c>
      <c r="J15" s="17" t="str">
        <f aca="false">IF($B15="","",IFERROR(AVERAGEIFS(测试记录!$L$5:$L$124,测试记录!$C$5:$C$124,$B15,测试记录!$F$5:$F$124,J$4),""))</f>
        <v/>
      </c>
      <c r="K15" s="17" t="str">
        <f aca="false">IF($B15="","",IFERROR(AVERAGEIFS(测试记录!$L$5:$L$124,测试记录!$C$5:$C$124,$B15,测试记录!$F$5:$F$124,K$4),""))</f>
        <v/>
      </c>
      <c r="L15" s="17" t="str">
        <f aca="false">IF($B15="","",IFERROR(AVERAGEIFS(测试记录!$L$5:$L$124,测试记录!$C$5:$C$124,$B15,测试记录!$F$5:$F$124,L$4),""))</f>
        <v/>
      </c>
      <c r="M15" s="17" t="str">
        <f aca="false">IF($B15="","",IFERROR(AVERAGEIFS(测试记录!$L$5:$L$124,测试记录!$C$5:$C$124,$B15,测试记录!$F$5:$F$124,M$4),""))</f>
        <v/>
      </c>
      <c r="N15" s="17" t="str">
        <f aca="false">IF($B15="","",IFERROR(AVERAGEIFS(测试记录!$L$5:$L$124,测试记录!$C$5:$C$124,$B15,测试记录!$F$5:$F$124,N$4),""))</f>
        <v/>
      </c>
      <c r="O15" s="17" t="str">
        <f aca="false">IF($B15="","",IFERROR(AVERAGEIFS(测试记录!$L$5:$L$124,测试记录!$C$5:$C$124,$B15,测试记录!$F$5:$F$124,O$4),""))</f>
        <v/>
      </c>
      <c r="P15" s="17" t="str">
        <f aca="false">IF($B15="","",IFERROR(AVERAGEIFS(测试记录!$L$5:$L$124,测试记录!$C$5:$C$124,$B15),""))</f>
        <v/>
      </c>
      <c r="Q15" s="15" t="str">
        <f aca="false">IF($B15="","",COUNTIFS(测试记录!$C$5:$C$124,$B15))</f>
        <v/>
      </c>
      <c r="R15" s="15" t="str">
        <f aca="false">IF($P15="","",IFERROR(RANK($P15,$P$5:$P$24),""))</f>
        <v/>
      </c>
    </row>
    <row r="16" customFormat="false" ht="21.75" hidden="false" customHeight="true" outlineLevel="0" collapsed="false">
      <c r="B16" s="11" t="str">
        <f aca="false">IF(模型信息!B16="","",模型信息!B16)</f>
        <v/>
      </c>
      <c r="C16" s="11" t="str">
        <f aca="false">IF($B16="","",IFERROR(VLOOKUP($B16,模型信息!$B$5:$C$24,2,0),""))</f>
        <v/>
      </c>
      <c r="D16" s="18" t="str">
        <f aca="false">IF($B16="","",IFERROR(AVERAGEIFS(测试记录!$L$5:$L$124,测试记录!$C$5:$C$124,$B16,测试记录!$F$5:$F$124,D$4),""))</f>
        <v/>
      </c>
      <c r="E16" s="18" t="str">
        <f aca="false">IF($B16="","",IFERROR(AVERAGEIFS(测试记录!$L$5:$L$124,测试记录!$C$5:$C$124,$B16,测试记录!$F$5:$F$124,E$4),""))</f>
        <v/>
      </c>
      <c r="F16" s="18" t="str">
        <f aca="false">IF($B16="","",IFERROR(AVERAGEIFS(测试记录!$L$5:$L$124,测试记录!$C$5:$C$124,$B16,测试记录!$F$5:$F$124,F$4),""))</f>
        <v/>
      </c>
      <c r="G16" s="18" t="str">
        <f aca="false">IF($B16="","",IFERROR(AVERAGEIFS(测试记录!$L$5:$L$124,测试记录!$C$5:$C$124,$B16,测试记录!$F$5:$F$124,G$4),""))</f>
        <v/>
      </c>
      <c r="H16" s="18" t="str">
        <f aca="false">IF($B16="","",IFERROR(AVERAGEIFS(测试记录!$L$5:$L$124,测试记录!$C$5:$C$124,$B16,测试记录!$F$5:$F$124,H$4),""))</f>
        <v/>
      </c>
      <c r="I16" s="18" t="str">
        <f aca="false">IF($B16="","",IFERROR(AVERAGEIFS(测试记录!$L$5:$L$124,测试记录!$C$5:$C$124,$B16,测试记录!$F$5:$F$124,I$4),""))</f>
        <v/>
      </c>
      <c r="J16" s="18" t="str">
        <f aca="false">IF($B16="","",IFERROR(AVERAGEIFS(测试记录!$L$5:$L$124,测试记录!$C$5:$C$124,$B16,测试记录!$F$5:$F$124,J$4),""))</f>
        <v/>
      </c>
      <c r="K16" s="18" t="str">
        <f aca="false">IF($B16="","",IFERROR(AVERAGEIFS(测试记录!$L$5:$L$124,测试记录!$C$5:$C$124,$B16,测试记录!$F$5:$F$124,K$4),""))</f>
        <v/>
      </c>
      <c r="L16" s="18" t="str">
        <f aca="false">IF($B16="","",IFERROR(AVERAGEIFS(测试记录!$L$5:$L$124,测试记录!$C$5:$C$124,$B16,测试记录!$F$5:$F$124,L$4),""))</f>
        <v/>
      </c>
      <c r="M16" s="18" t="str">
        <f aca="false">IF($B16="","",IFERROR(AVERAGEIFS(测试记录!$L$5:$L$124,测试记录!$C$5:$C$124,$B16,测试记录!$F$5:$F$124,M$4),""))</f>
        <v/>
      </c>
      <c r="N16" s="18" t="str">
        <f aca="false">IF($B16="","",IFERROR(AVERAGEIFS(测试记录!$L$5:$L$124,测试记录!$C$5:$C$124,$B16,测试记录!$F$5:$F$124,N$4),""))</f>
        <v/>
      </c>
      <c r="O16" s="18" t="str">
        <f aca="false">IF($B16="","",IFERROR(AVERAGEIFS(测试记录!$L$5:$L$124,测试记录!$C$5:$C$124,$B16,测试记录!$F$5:$F$124,O$4),""))</f>
        <v/>
      </c>
      <c r="P16" s="18" t="str">
        <f aca="false">IF($B16="","",IFERROR(AVERAGEIFS(测试记录!$L$5:$L$124,测试记录!$C$5:$C$124,$B16),""))</f>
        <v/>
      </c>
      <c r="Q16" s="16" t="str">
        <f aca="false">IF($B16="","",COUNTIFS(测试记录!$C$5:$C$124,$B16))</f>
        <v/>
      </c>
      <c r="R16" s="16" t="str">
        <f aca="false">IF($P16="","",IFERROR(RANK($P16,$P$5:$P$24),""))</f>
        <v/>
      </c>
    </row>
    <row r="17" customFormat="false" ht="21.75" hidden="false" customHeight="true" outlineLevel="0" collapsed="false">
      <c r="B17" s="7" t="str">
        <f aca="false">IF(模型信息!B17="","",模型信息!B17)</f>
        <v/>
      </c>
      <c r="C17" s="7" t="str">
        <f aca="false">IF($B17="","",IFERROR(VLOOKUP($B17,模型信息!$B$5:$C$24,2,0),""))</f>
        <v/>
      </c>
      <c r="D17" s="17" t="str">
        <f aca="false">IF($B17="","",IFERROR(AVERAGEIFS(测试记录!$L$5:$L$124,测试记录!$C$5:$C$124,$B17,测试记录!$F$5:$F$124,D$4),""))</f>
        <v/>
      </c>
      <c r="E17" s="17" t="str">
        <f aca="false">IF($B17="","",IFERROR(AVERAGEIFS(测试记录!$L$5:$L$124,测试记录!$C$5:$C$124,$B17,测试记录!$F$5:$F$124,E$4),""))</f>
        <v/>
      </c>
      <c r="F17" s="17" t="str">
        <f aca="false">IF($B17="","",IFERROR(AVERAGEIFS(测试记录!$L$5:$L$124,测试记录!$C$5:$C$124,$B17,测试记录!$F$5:$F$124,F$4),""))</f>
        <v/>
      </c>
      <c r="G17" s="17" t="str">
        <f aca="false">IF($B17="","",IFERROR(AVERAGEIFS(测试记录!$L$5:$L$124,测试记录!$C$5:$C$124,$B17,测试记录!$F$5:$F$124,G$4),""))</f>
        <v/>
      </c>
      <c r="H17" s="17" t="str">
        <f aca="false">IF($B17="","",IFERROR(AVERAGEIFS(测试记录!$L$5:$L$124,测试记录!$C$5:$C$124,$B17,测试记录!$F$5:$F$124,H$4),""))</f>
        <v/>
      </c>
      <c r="I17" s="17" t="str">
        <f aca="false">IF($B17="","",IFERROR(AVERAGEIFS(测试记录!$L$5:$L$124,测试记录!$C$5:$C$124,$B17,测试记录!$F$5:$F$124,I$4),""))</f>
        <v/>
      </c>
      <c r="J17" s="17" t="str">
        <f aca="false">IF($B17="","",IFERROR(AVERAGEIFS(测试记录!$L$5:$L$124,测试记录!$C$5:$C$124,$B17,测试记录!$F$5:$F$124,J$4),""))</f>
        <v/>
      </c>
      <c r="K17" s="17" t="str">
        <f aca="false">IF($B17="","",IFERROR(AVERAGEIFS(测试记录!$L$5:$L$124,测试记录!$C$5:$C$124,$B17,测试记录!$F$5:$F$124,K$4),""))</f>
        <v/>
      </c>
      <c r="L17" s="17" t="str">
        <f aca="false">IF($B17="","",IFERROR(AVERAGEIFS(测试记录!$L$5:$L$124,测试记录!$C$5:$C$124,$B17,测试记录!$F$5:$F$124,L$4),""))</f>
        <v/>
      </c>
      <c r="M17" s="17" t="str">
        <f aca="false">IF($B17="","",IFERROR(AVERAGEIFS(测试记录!$L$5:$L$124,测试记录!$C$5:$C$124,$B17,测试记录!$F$5:$F$124,M$4),""))</f>
        <v/>
      </c>
      <c r="N17" s="17" t="str">
        <f aca="false">IF($B17="","",IFERROR(AVERAGEIFS(测试记录!$L$5:$L$124,测试记录!$C$5:$C$124,$B17,测试记录!$F$5:$F$124,N$4),""))</f>
        <v/>
      </c>
      <c r="O17" s="17" t="str">
        <f aca="false">IF($B17="","",IFERROR(AVERAGEIFS(测试记录!$L$5:$L$124,测试记录!$C$5:$C$124,$B17,测试记录!$F$5:$F$124,O$4),""))</f>
        <v/>
      </c>
      <c r="P17" s="17" t="str">
        <f aca="false">IF($B17="","",IFERROR(AVERAGEIFS(测试记录!$L$5:$L$124,测试记录!$C$5:$C$124,$B17),""))</f>
        <v/>
      </c>
      <c r="Q17" s="15" t="str">
        <f aca="false">IF($B17="","",COUNTIFS(测试记录!$C$5:$C$124,$B17))</f>
        <v/>
      </c>
      <c r="R17" s="15" t="str">
        <f aca="false">IF($P17="","",IFERROR(RANK($P17,$P$5:$P$24),""))</f>
        <v/>
      </c>
    </row>
    <row r="18" customFormat="false" ht="21.75" hidden="false" customHeight="true" outlineLevel="0" collapsed="false">
      <c r="B18" s="11" t="str">
        <f aca="false">IF(模型信息!B18="","",模型信息!B18)</f>
        <v/>
      </c>
      <c r="C18" s="11" t="str">
        <f aca="false">IF($B18="","",IFERROR(VLOOKUP($B18,模型信息!$B$5:$C$24,2,0),""))</f>
        <v/>
      </c>
      <c r="D18" s="18" t="str">
        <f aca="false">IF($B18="","",IFERROR(AVERAGEIFS(测试记录!$L$5:$L$124,测试记录!$C$5:$C$124,$B18,测试记录!$F$5:$F$124,D$4),""))</f>
        <v/>
      </c>
      <c r="E18" s="18" t="str">
        <f aca="false">IF($B18="","",IFERROR(AVERAGEIFS(测试记录!$L$5:$L$124,测试记录!$C$5:$C$124,$B18,测试记录!$F$5:$F$124,E$4),""))</f>
        <v/>
      </c>
      <c r="F18" s="18" t="str">
        <f aca="false">IF($B18="","",IFERROR(AVERAGEIFS(测试记录!$L$5:$L$124,测试记录!$C$5:$C$124,$B18,测试记录!$F$5:$F$124,F$4),""))</f>
        <v/>
      </c>
      <c r="G18" s="18" t="str">
        <f aca="false">IF($B18="","",IFERROR(AVERAGEIFS(测试记录!$L$5:$L$124,测试记录!$C$5:$C$124,$B18,测试记录!$F$5:$F$124,G$4),""))</f>
        <v/>
      </c>
      <c r="H18" s="18" t="str">
        <f aca="false">IF($B18="","",IFERROR(AVERAGEIFS(测试记录!$L$5:$L$124,测试记录!$C$5:$C$124,$B18,测试记录!$F$5:$F$124,H$4),""))</f>
        <v/>
      </c>
      <c r="I18" s="18" t="str">
        <f aca="false">IF($B18="","",IFERROR(AVERAGEIFS(测试记录!$L$5:$L$124,测试记录!$C$5:$C$124,$B18,测试记录!$F$5:$F$124,I$4),""))</f>
        <v/>
      </c>
      <c r="J18" s="18" t="str">
        <f aca="false">IF($B18="","",IFERROR(AVERAGEIFS(测试记录!$L$5:$L$124,测试记录!$C$5:$C$124,$B18,测试记录!$F$5:$F$124,J$4),""))</f>
        <v/>
      </c>
      <c r="K18" s="18" t="str">
        <f aca="false">IF($B18="","",IFERROR(AVERAGEIFS(测试记录!$L$5:$L$124,测试记录!$C$5:$C$124,$B18,测试记录!$F$5:$F$124,K$4),""))</f>
        <v/>
      </c>
      <c r="L18" s="18" t="str">
        <f aca="false">IF($B18="","",IFERROR(AVERAGEIFS(测试记录!$L$5:$L$124,测试记录!$C$5:$C$124,$B18,测试记录!$F$5:$F$124,L$4),""))</f>
        <v/>
      </c>
      <c r="M18" s="18" t="str">
        <f aca="false">IF($B18="","",IFERROR(AVERAGEIFS(测试记录!$L$5:$L$124,测试记录!$C$5:$C$124,$B18,测试记录!$F$5:$F$124,M$4),""))</f>
        <v/>
      </c>
      <c r="N18" s="18" t="str">
        <f aca="false">IF($B18="","",IFERROR(AVERAGEIFS(测试记录!$L$5:$L$124,测试记录!$C$5:$C$124,$B18,测试记录!$F$5:$F$124,N$4),""))</f>
        <v/>
      </c>
      <c r="O18" s="18" t="str">
        <f aca="false">IF($B18="","",IFERROR(AVERAGEIFS(测试记录!$L$5:$L$124,测试记录!$C$5:$C$124,$B18,测试记录!$F$5:$F$124,O$4),""))</f>
        <v/>
      </c>
      <c r="P18" s="18" t="str">
        <f aca="false">IF($B18="","",IFERROR(AVERAGEIFS(测试记录!$L$5:$L$124,测试记录!$C$5:$C$124,$B18),""))</f>
        <v/>
      </c>
      <c r="Q18" s="16" t="str">
        <f aca="false">IF($B18="","",COUNTIFS(测试记录!$C$5:$C$124,$B18))</f>
        <v/>
      </c>
      <c r="R18" s="16" t="str">
        <f aca="false">IF($P18="","",IFERROR(RANK($P18,$P$5:$P$24),""))</f>
        <v/>
      </c>
    </row>
    <row r="19" customFormat="false" ht="21.75" hidden="false" customHeight="true" outlineLevel="0" collapsed="false">
      <c r="B19" s="7" t="str">
        <f aca="false">IF(模型信息!B19="","",模型信息!B19)</f>
        <v/>
      </c>
      <c r="C19" s="7" t="str">
        <f aca="false">IF($B19="","",IFERROR(VLOOKUP($B19,模型信息!$B$5:$C$24,2,0),""))</f>
        <v/>
      </c>
      <c r="D19" s="17" t="str">
        <f aca="false">IF($B19="","",IFERROR(AVERAGEIFS(测试记录!$L$5:$L$124,测试记录!$C$5:$C$124,$B19,测试记录!$F$5:$F$124,D$4),""))</f>
        <v/>
      </c>
      <c r="E19" s="17" t="str">
        <f aca="false">IF($B19="","",IFERROR(AVERAGEIFS(测试记录!$L$5:$L$124,测试记录!$C$5:$C$124,$B19,测试记录!$F$5:$F$124,E$4),""))</f>
        <v/>
      </c>
      <c r="F19" s="17" t="str">
        <f aca="false">IF($B19="","",IFERROR(AVERAGEIFS(测试记录!$L$5:$L$124,测试记录!$C$5:$C$124,$B19,测试记录!$F$5:$F$124,F$4),""))</f>
        <v/>
      </c>
      <c r="G19" s="17" t="str">
        <f aca="false">IF($B19="","",IFERROR(AVERAGEIFS(测试记录!$L$5:$L$124,测试记录!$C$5:$C$124,$B19,测试记录!$F$5:$F$124,G$4),""))</f>
        <v/>
      </c>
      <c r="H19" s="17" t="str">
        <f aca="false">IF($B19="","",IFERROR(AVERAGEIFS(测试记录!$L$5:$L$124,测试记录!$C$5:$C$124,$B19,测试记录!$F$5:$F$124,H$4),""))</f>
        <v/>
      </c>
      <c r="I19" s="17" t="str">
        <f aca="false">IF($B19="","",IFERROR(AVERAGEIFS(测试记录!$L$5:$L$124,测试记录!$C$5:$C$124,$B19,测试记录!$F$5:$F$124,I$4),""))</f>
        <v/>
      </c>
      <c r="J19" s="17" t="str">
        <f aca="false">IF($B19="","",IFERROR(AVERAGEIFS(测试记录!$L$5:$L$124,测试记录!$C$5:$C$124,$B19,测试记录!$F$5:$F$124,J$4),""))</f>
        <v/>
      </c>
      <c r="K19" s="17" t="str">
        <f aca="false">IF($B19="","",IFERROR(AVERAGEIFS(测试记录!$L$5:$L$124,测试记录!$C$5:$C$124,$B19,测试记录!$F$5:$F$124,K$4),""))</f>
        <v/>
      </c>
      <c r="L19" s="17" t="str">
        <f aca="false">IF($B19="","",IFERROR(AVERAGEIFS(测试记录!$L$5:$L$124,测试记录!$C$5:$C$124,$B19,测试记录!$F$5:$F$124,L$4),""))</f>
        <v/>
      </c>
      <c r="M19" s="17" t="str">
        <f aca="false">IF($B19="","",IFERROR(AVERAGEIFS(测试记录!$L$5:$L$124,测试记录!$C$5:$C$124,$B19,测试记录!$F$5:$F$124,M$4),""))</f>
        <v/>
      </c>
      <c r="N19" s="17" t="str">
        <f aca="false">IF($B19="","",IFERROR(AVERAGEIFS(测试记录!$L$5:$L$124,测试记录!$C$5:$C$124,$B19,测试记录!$F$5:$F$124,N$4),""))</f>
        <v/>
      </c>
      <c r="O19" s="17" t="str">
        <f aca="false">IF($B19="","",IFERROR(AVERAGEIFS(测试记录!$L$5:$L$124,测试记录!$C$5:$C$124,$B19,测试记录!$F$5:$F$124,O$4),""))</f>
        <v/>
      </c>
      <c r="P19" s="17" t="str">
        <f aca="false">IF($B19="","",IFERROR(AVERAGEIFS(测试记录!$L$5:$L$124,测试记录!$C$5:$C$124,$B19),""))</f>
        <v/>
      </c>
      <c r="Q19" s="15" t="str">
        <f aca="false">IF($B19="","",COUNTIFS(测试记录!$C$5:$C$124,$B19))</f>
        <v/>
      </c>
      <c r="R19" s="15" t="str">
        <f aca="false">IF($P19="","",IFERROR(RANK($P19,$P$5:$P$24),""))</f>
        <v/>
      </c>
    </row>
    <row r="20" customFormat="false" ht="21.75" hidden="false" customHeight="true" outlineLevel="0" collapsed="false">
      <c r="B20" s="11" t="str">
        <f aca="false">IF(模型信息!B20="","",模型信息!B20)</f>
        <v/>
      </c>
      <c r="C20" s="11" t="str">
        <f aca="false">IF($B20="","",IFERROR(VLOOKUP($B20,模型信息!$B$5:$C$24,2,0),""))</f>
        <v/>
      </c>
      <c r="D20" s="18" t="str">
        <f aca="false">IF($B20="","",IFERROR(AVERAGEIFS(测试记录!$L$5:$L$124,测试记录!$C$5:$C$124,$B20,测试记录!$F$5:$F$124,D$4),""))</f>
        <v/>
      </c>
      <c r="E20" s="18" t="str">
        <f aca="false">IF($B20="","",IFERROR(AVERAGEIFS(测试记录!$L$5:$L$124,测试记录!$C$5:$C$124,$B20,测试记录!$F$5:$F$124,E$4),""))</f>
        <v/>
      </c>
      <c r="F20" s="18" t="str">
        <f aca="false">IF($B20="","",IFERROR(AVERAGEIFS(测试记录!$L$5:$L$124,测试记录!$C$5:$C$124,$B20,测试记录!$F$5:$F$124,F$4),""))</f>
        <v/>
      </c>
      <c r="G20" s="18" t="str">
        <f aca="false">IF($B20="","",IFERROR(AVERAGEIFS(测试记录!$L$5:$L$124,测试记录!$C$5:$C$124,$B20,测试记录!$F$5:$F$124,G$4),""))</f>
        <v/>
      </c>
      <c r="H20" s="18" t="str">
        <f aca="false">IF($B20="","",IFERROR(AVERAGEIFS(测试记录!$L$5:$L$124,测试记录!$C$5:$C$124,$B20,测试记录!$F$5:$F$124,H$4),""))</f>
        <v/>
      </c>
      <c r="I20" s="18" t="str">
        <f aca="false">IF($B20="","",IFERROR(AVERAGEIFS(测试记录!$L$5:$L$124,测试记录!$C$5:$C$124,$B20,测试记录!$F$5:$F$124,I$4),""))</f>
        <v/>
      </c>
      <c r="J20" s="18" t="str">
        <f aca="false">IF($B20="","",IFERROR(AVERAGEIFS(测试记录!$L$5:$L$124,测试记录!$C$5:$C$124,$B20,测试记录!$F$5:$F$124,J$4),""))</f>
        <v/>
      </c>
      <c r="K20" s="18" t="str">
        <f aca="false">IF($B20="","",IFERROR(AVERAGEIFS(测试记录!$L$5:$L$124,测试记录!$C$5:$C$124,$B20,测试记录!$F$5:$F$124,K$4),""))</f>
        <v/>
      </c>
      <c r="L20" s="18" t="str">
        <f aca="false">IF($B20="","",IFERROR(AVERAGEIFS(测试记录!$L$5:$L$124,测试记录!$C$5:$C$124,$B20,测试记录!$F$5:$F$124,L$4),""))</f>
        <v/>
      </c>
      <c r="M20" s="18" t="str">
        <f aca="false">IF($B20="","",IFERROR(AVERAGEIFS(测试记录!$L$5:$L$124,测试记录!$C$5:$C$124,$B20,测试记录!$F$5:$F$124,M$4),""))</f>
        <v/>
      </c>
      <c r="N20" s="18" t="str">
        <f aca="false">IF($B20="","",IFERROR(AVERAGEIFS(测试记录!$L$5:$L$124,测试记录!$C$5:$C$124,$B20,测试记录!$F$5:$F$124,N$4),""))</f>
        <v/>
      </c>
      <c r="O20" s="18" t="str">
        <f aca="false">IF($B20="","",IFERROR(AVERAGEIFS(测试记录!$L$5:$L$124,测试记录!$C$5:$C$124,$B20,测试记录!$F$5:$F$124,O$4),""))</f>
        <v/>
      </c>
      <c r="P20" s="18" t="str">
        <f aca="false">IF($B20="","",IFERROR(AVERAGEIFS(测试记录!$L$5:$L$124,测试记录!$C$5:$C$124,$B20),""))</f>
        <v/>
      </c>
      <c r="Q20" s="16" t="str">
        <f aca="false">IF($B20="","",COUNTIFS(测试记录!$C$5:$C$124,$B20))</f>
        <v/>
      </c>
      <c r="R20" s="16" t="str">
        <f aca="false">IF($P20="","",IFERROR(RANK($P20,$P$5:$P$24),""))</f>
        <v/>
      </c>
    </row>
    <row r="21" customFormat="false" ht="21.75" hidden="false" customHeight="true" outlineLevel="0" collapsed="false">
      <c r="B21" s="7" t="str">
        <f aca="false">IF(模型信息!B21="","",模型信息!B21)</f>
        <v/>
      </c>
      <c r="C21" s="7" t="str">
        <f aca="false">IF($B21="","",IFERROR(VLOOKUP($B21,模型信息!$B$5:$C$24,2,0),""))</f>
        <v/>
      </c>
      <c r="D21" s="17" t="str">
        <f aca="false">IF($B21="","",IFERROR(AVERAGEIFS(测试记录!$L$5:$L$124,测试记录!$C$5:$C$124,$B21,测试记录!$F$5:$F$124,D$4),""))</f>
        <v/>
      </c>
      <c r="E21" s="17" t="str">
        <f aca="false">IF($B21="","",IFERROR(AVERAGEIFS(测试记录!$L$5:$L$124,测试记录!$C$5:$C$124,$B21,测试记录!$F$5:$F$124,E$4),""))</f>
        <v/>
      </c>
      <c r="F21" s="17" t="str">
        <f aca="false">IF($B21="","",IFERROR(AVERAGEIFS(测试记录!$L$5:$L$124,测试记录!$C$5:$C$124,$B21,测试记录!$F$5:$F$124,F$4),""))</f>
        <v/>
      </c>
      <c r="G21" s="17" t="str">
        <f aca="false">IF($B21="","",IFERROR(AVERAGEIFS(测试记录!$L$5:$L$124,测试记录!$C$5:$C$124,$B21,测试记录!$F$5:$F$124,G$4),""))</f>
        <v/>
      </c>
      <c r="H21" s="17" t="str">
        <f aca="false">IF($B21="","",IFERROR(AVERAGEIFS(测试记录!$L$5:$L$124,测试记录!$C$5:$C$124,$B21,测试记录!$F$5:$F$124,H$4),""))</f>
        <v/>
      </c>
      <c r="I21" s="17" t="str">
        <f aca="false">IF($B21="","",IFERROR(AVERAGEIFS(测试记录!$L$5:$L$124,测试记录!$C$5:$C$124,$B21,测试记录!$F$5:$F$124,I$4),""))</f>
        <v/>
      </c>
      <c r="J21" s="17" t="str">
        <f aca="false">IF($B21="","",IFERROR(AVERAGEIFS(测试记录!$L$5:$L$124,测试记录!$C$5:$C$124,$B21,测试记录!$F$5:$F$124,J$4),""))</f>
        <v/>
      </c>
      <c r="K21" s="17" t="str">
        <f aca="false">IF($B21="","",IFERROR(AVERAGEIFS(测试记录!$L$5:$L$124,测试记录!$C$5:$C$124,$B21,测试记录!$F$5:$F$124,K$4),""))</f>
        <v/>
      </c>
      <c r="L21" s="17" t="str">
        <f aca="false">IF($B21="","",IFERROR(AVERAGEIFS(测试记录!$L$5:$L$124,测试记录!$C$5:$C$124,$B21,测试记录!$F$5:$F$124,L$4),""))</f>
        <v/>
      </c>
      <c r="M21" s="17" t="str">
        <f aca="false">IF($B21="","",IFERROR(AVERAGEIFS(测试记录!$L$5:$L$124,测试记录!$C$5:$C$124,$B21,测试记录!$F$5:$F$124,M$4),""))</f>
        <v/>
      </c>
      <c r="N21" s="17" t="str">
        <f aca="false">IF($B21="","",IFERROR(AVERAGEIFS(测试记录!$L$5:$L$124,测试记录!$C$5:$C$124,$B21,测试记录!$F$5:$F$124,N$4),""))</f>
        <v/>
      </c>
      <c r="O21" s="17" t="str">
        <f aca="false">IF($B21="","",IFERROR(AVERAGEIFS(测试记录!$L$5:$L$124,测试记录!$C$5:$C$124,$B21,测试记录!$F$5:$F$124,O$4),""))</f>
        <v/>
      </c>
      <c r="P21" s="17" t="str">
        <f aca="false">IF($B21="","",IFERROR(AVERAGEIFS(测试记录!$L$5:$L$124,测试记录!$C$5:$C$124,$B21),""))</f>
        <v/>
      </c>
      <c r="Q21" s="15" t="str">
        <f aca="false">IF($B21="","",COUNTIFS(测试记录!$C$5:$C$124,$B21))</f>
        <v/>
      </c>
      <c r="R21" s="15" t="str">
        <f aca="false">IF($P21="","",IFERROR(RANK($P21,$P$5:$P$24),""))</f>
        <v/>
      </c>
    </row>
    <row r="22" customFormat="false" ht="21.75" hidden="false" customHeight="true" outlineLevel="0" collapsed="false">
      <c r="B22" s="11" t="str">
        <f aca="false">IF(模型信息!B22="","",模型信息!B22)</f>
        <v/>
      </c>
      <c r="C22" s="11" t="str">
        <f aca="false">IF($B22="","",IFERROR(VLOOKUP($B22,模型信息!$B$5:$C$24,2,0),""))</f>
        <v/>
      </c>
      <c r="D22" s="18" t="str">
        <f aca="false">IF($B22="","",IFERROR(AVERAGEIFS(测试记录!$L$5:$L$124,测试记录!$C$5:$C$124,$B22,测试记录!$F$5:$F$124,D$4),""))</f>
        <v/>
      </c>
      <c r="E22" s="18" t="str">
        <f aca="false">IF($B22="","",IFERROR(AVERAGEIFS(测试记录!$L$5:$L$124,测试记录!$C$5:$C$124,$B22,测试记录!$F$5:$F$124,E$4),""))</f>
        <v/>
      </c>
      <c r="F22" s="18" t="str">
        <f aca="false">IF($B22="","",IFERROR(AVERAGEIFS(测试记录!$L$5:$L$124,测试记录!$C$5:$C$124,$B22,测试记录!$F$5:$F$124,F$4),""))</f>
        <v/>
      </c>
      <c r="G22" s="18" t="str">
        <f aca="false">IF($B22="","",IFERROR(AVERAGEIFS(测试记录!$L$5:$L$124,测试记录!$C$5:$C$124,$B22,测试记录!$F$5:$F$124,G$4),""))</f>
        <v/>
      </c>
      <c r="H22" s="18" t="str">
        <f aca="false">IF($B22="","",IFERROR(AVERAGEIFS(测试记录!$L$5:$L$124,测试记录!$C$5:$C$124,$B22,测试记录!$F$5:$F$124,H$4),""))</f>
        <v/>
      </c>
      <c r="I22" s="18" t="str">
        <f aca="false">IF($B22="","",IFERROR(AVERAGEIFS(测试记录!$L$5:$L$124,测试记录!$C$5:$C$124,$B22,测试记录!$F$5:$F$124,I$4),""))</f>
        <v/>
      </c>
      <c r="J22" s="18" t="str">
        <f aca="false">IF($B22="","",IFERROR(AVERAGEIFS(测试记录!$L$5:$L$124,测试记录!$C$5:$C$124,$B22,测试记录!$F$5:$F$124,J$4),""))</f>
        <v/>
      </c>
      <c r="K22" s="18" t="str">
        <f aca="false">IF($B22="","",IFERROR(AVERAGEIFS(测试记录!$L$5:$L$124,测试记录!$C$5:$C$124,$B22,测试记录!$F$5:$F$124,K$4),""))</f>
        <v/>
      </c>
      <c r="L22" s="18" t="str">
        <f aca="false">IF($B22="","",IFERROR(AVERAGEIFS(测试记录!$L$5:$L$124,测试记录!$C$5:$C$124,$B22,测试记录!$F$5:$F$124,L$4),""))</f>
        <v/>
      </c>
      <c r="M22" s="18" t="str">
        <f aca="false">IF($B22="","",IFERROR(AVERAGEIFS(测试记录!$L$5:$L$124,测试记录!$C$5:$C$124,$B22,测试记录!$F$5:$F$124,M$4),""))</f>
        <v/>
      </c>
      <c r="N22" s="18" t="str">
        <f aca="false">IF($B22="","",IFERROR(AVERAGEIFS(测试记录!$L$5:$L$124,测试记录!$C$5:$C$124,$B22,测试记录!$F$5:$F$124,N$4),""))</f>
        <v/>
      </c>
      <c r="O22" s="18" t="str">
        <f aca="false">IF($B22="","",IFERROR(AVERAGEIFS(测试记录!$L$5:$L$124,测试记录!$C$5:$C$124,$B22,测试记录!$F$5:$F$124,O$4),""))</f>
        <v/>
      </c>
      <c r="P22" s="18" t="str">
        <f aca="false">IF($B22="","",IFERROR(AVERAGEIFS(测试记录!$L$5:$L$124,测试记录!$C$5:$C$124,$B22),""))</f>
        <v/>
      </c>
      <c r="Q22" s="16" t="str">
        <f aca="false">IF($B22="","",COUNTIFS(测试记录!$C$5:$C$124,$B22))</f>
        <v/>
      </c>
      <c r="R22" s="16" t="str">
        <f aca="false">IF($P22="","",IFERROR(RANK($P22,$P$5:$P$24),""))</f>
        <v/>
      </c>
    </row>
    <row r="23" customFormat="false" ht="21.75" hidden="false" customHeight="true" outlineLevel="0" collapsed="false">
      <c r="B23" s="7" t="str">
        <f aca="false">IF(模型信息!B23="","",模型信息!B23)</f>
        <v/>
      </c>
      <c r="C23" s="7" t="str">
        <f aca="false">IF($B23="","",IFERROR(VLOOKUP($B23,模型信息!$B$5:$C$24,2,0),""))</f>
        <v/>
      </c>
      <c r="D23" s="17" t="str">
        <f aca="false">IF($B23="","",IFERROR(AVERAGEIFS(测试记录!$L$5:$L$124,测试记录!$C$5:$C$124,$B23,测试记录!$F$5:$F$124,D$4),""))</f>
        <v/>
      </c>
      <c r="E23" s="17" t="str">
        <f aca="false">IF($B23="","",IFERROR(AVERAGEIFS(测试记录!$L$5:$L$124,测试记录!$C$5:$C$124,$B23,测试记录!$F$5:$F$124,E$4),""))</f>
        <v/>
      </c>
      <c r="F23" s="17" t="str">
        <f aca="false">IF($B23="","",IFERROR(AVERAGEIFS(测试记录!$L$5:$L$124,测试记录!$C$5:$C$124,$B23,测试记录!$F$5:$F$124,F$4),""))</f>
        <v/>
      </c>
      <c r="G23" s="17" t="str">
        <f aca="false">IF($B23="","",IFERROR(AVERAGEIFS(测试记录!$L$5:$L$124,测试记录!$C$5:$C$124,$B23,测试记录!$F$5:$F$124,G$4),""))</f>
        <v/>
      </c>
      <c r="H23" s="17" t="str">
        <f aca="false">IF($B23="","",IFERROR(AVERAGEIFS(测试记录!$L$5:$L$124,测试记录!$C$5:$C$124,$B23,测试记录!$F$5:$F$124,H$4),""))</f>
        <v/>
      </c>
      <c r="I23" s="17" t="str">
        <f aca="false">IF($B23="","",IFERROR(AVERAGEIFS(测试记录!$L$5:$L$124,测试记录!$C$5:$C$124,$B23,测试记录!$F$5:$F$124,I$4),""))</f>
        <v/>
      </c>
      <c r="J23" s="17" t="str">
        <f aca="false">IF($B23="","",IFERROR(AVERAGEIFS(测试记录!$L$5:$L$124,测试记录!$C$5:$C$124,$B23,测试记录!$F$5:$F$124,J$4),""))</f>
        <v/>
      </c>
      <c r="K23" s="17" t="str">
        <f aca="false">IF($B23="","",IFERROR(AVERAGEIFS(测试记录!$L$5:$L$124,测试记录!$C$5:$C$124,$B23,测试记录!$F$5:$F$124,K$4),""))</f>
        <v/>
      </c>
      <c r="L23" s="17" t="str">
        <f aca="false">IF($B23="","",IFERROR(AVERAGEIFS(测试记录!$L$5:$L$124,测试记录!$C$5:$C$124,$B23,测试记录!$F$5:$F$124,L$4),""))</f>
        <v/>
      </c>
      <c r="M23" s="17" t="str">
        <f aca="false">IF($B23="","",IFERROR(AVERAGEIFS(测试记录!$L$5:$L$124,测试记录!$C$5:$C$124,$B23,测试记录!$F$5:$F$124,M$4),""))</f>
        <v/>
      </c>
      <c r="N23" s="17" t="str">
        <f aca="false">IF($B23="","",IFERROR(AVERAGEIFS(测试记录!$L$5:$L$124,测试记录!$C$5:$C$124,$B23,测试记录!$F$5:$F$124,N$4),""))</f>
        <v/>
      </c>
      <c r="O23" s="17" t="str">
        <f aca="false">IF($B23="","",IFERROR(AVERAGEIFS(测试记录!$L$5:$L$124,测试记录!$C$5:$C$124,$B23,测试记录!$F$5:$F$124,O$4),""))</f>
        <v/>
      </c>
      <c r="P23" s="17" t="str">
        <f aca="false">IF($B23="","",IFERROR(AVERAGEIFS(测试记录!$L$5:$L$124,测试记录!$C$5:$C$124,$B23),""))</f>
        <v/>
      </c>
      <c r="Q23" s="15" t="str">
        <f aca="false">IF($B23="","",COUNTIFS(测试记录!$C$5:$C$124,$B23))</f>
        <v/>
      </c>
      <c r="R23" s="15" t="str">
        <f aca="false">IF($P23="","",IFERROR(RANK($P23,$P$5:$P$24),""))</f>
        <v/>
      </c>
    </row>
    <row r="24" customFormat="false" ht="21.75" hidden="false" customHeight="true" outlineLevel="0" collapsed="false">
      <c r="B24" s="11" t="str">
        <f aca="false">IF(模型信息!B24="","",模型信息!B24)</f>
        <v/>
      </c>
      <c r="C24" s="11" t="str">
        <f aca="false">IF($B24="","",IFERROR(VLOOKUP($B24,模型信息!$B$5:$C$24,2,0),""))</f>
        <v/>
      </c>
      <c r="D24" s="18" t="str">
        <f aca="false">IF($B24="","",IFERROR(AVERAGEIFS(测试记录!$L$5:$L$124,测试记录!$C$5:$C$124,$B24,测试记录!$F$5:$F$124,D$4),""))</f>
        <v/>
      </c>
      <c r="E24" s="18" t="str">
        <f aca="false">IF($B24="","",IFERROR(AVERAGEIFS(测试记录!$L$5:$L$124,测试记录!$C$5:$C$124,$B24,测试记录!$F$5:$F$124,E$4),""))</f>
        <v/>
      </c>
      <c r="F24" s="18" t="str">
        <f aca="false">IF($B24="","",IFERROR(AVERAGEIFS(测试记录!$L$5:$L$124,测试记录!$C$5:$C$124,$B24,测试记录!$F$5:$F$124,F$4),""))</f>
        <v/>
      </c>
      <c r="G24" s="18" t="str">
        <f aca="false">IF($B24="","",IFERROR(AVERAGEIFS(测试记录!$L$5:$L$124,测试记录!$C$5:$C$124,$B24,测试记录!$F$5:$F$124,G$4),""))</f>
        <v/>
      </c>
      <c r="H24" s="18" t="str">
        <f aca="false">IF($B24="","",IFERROR(AVERAGEIFS(测试记录!$L$5:$L$124,测试记录!$C$5:$C$124,$B24,测试记录!$F$5:$F$124,H$4),""))</f>
        <v/>
      </c>
      <c r="I24" s="18" t="str">
        <f aca="false">IF($B24="","",IFERROR(AVERAGEIFS(测试记录!$L$5:$L$124,测试记录!$C$5:$C$124,$B24,测试记录!$F$5:$F$124,I$4),""))</f>
        <v/>
      </c>
      <c r="J24" s="18" t="str">
        <f aca="false">IF($B24="","",IFERROR(AVERAGEIFS(测试记录!$L$5:$L$124,测试记录!$C$5:$C$124,$B24,测试记录!$F$5:$F$124,J$4),""))</f>
        <v/>
      </c>
      <c r="K24" s="18" t="str">
        <f aca="false">IF($B24="","",IFERROR(AVERAGEIFS(测试记录!$L$5:$L$124,测试记录!$C$5:$C$124,$B24,测试记录!$F$5:$F$124,K$4),""))</f>
        <v/>
      </c>
      <c r="L24" s="18" t="str">
        <f aca="false">IF($B24="","",IFERROR(AVERAGEIFS(测试记录!$L$5:$L$124,测试记录!$C$5:$C$124,$B24,测试记录!$F$5:$F$124,L$4),""))</f>
        <v/>
      </c>
      <c r="M24" s="18" t="str">
        <f aca="false">IF($B24="","",IFERROR(AVERAGEIFS(测试记录!$L$5:$L$124,测试记录!$C$5:$C$124,$B24,测试记录!$F$5:$F$124,M$4),""))</f>
        <v/>
      </c>
      <c r="N24" s="18" t="str">
        <f aca="false">IF($B24="","",IFERROR(AVERAGEIFS(测试记录!$L$5:$L$124,测试记录!$C$5:$C$124,$B24,测试记录!$F$5:$F$124,N$4),""))</f>
        <v/>
      </c>
      <c r="O24" s="18" t="str">
        <f aca="false">IF($B24="","",IFERROR(AVERAGEIFS(测试记录!$L$5:$L$124,测试记录!$C$5:$C$124,$B24,测试记录!$F$5:$F$124,O$4),""))</f>
        <v/>
      </c>
      <c r="P24" s="18" t="str">
        <f aca="false">IF($B24="","",IFERROR(AVERAGEIFS(测试记录!$L$5:$L$124,测试记录!$C$5:$C$124,$B24),""))</f>
        <v/>
      </c>
      <c r="Q24" s="16" t="str">
        <f aca="false">IF($B24="","",COUNTIFS(测试记录!$C$5:$C$124,$B24))</f>
        <v/>
      </c>
      <c r="R24" s="16" t="str">
        <f aca="false">IF($P24="","",IFERROR(RANK($P24,$P$5:$P$24),""))</f>
        <v/>
      </c>
    </row>
    <row r="26" customFormat="false" ht="15" hidden="false" customHeight="false" outlineLevel="0" collapsed="false">
      <c r="B26" s="2" t="s">
        <v>146</v>
      </c>
    </row>
  </sheetData>
  <mergeCells count="1">
    <mergeCell ref="B2:R2"/>
  </mergeCells>
  <conditionalFormatting sqref="D5:O2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12.74"/>
    <col collapsed="false" customWidth="true" hidden="false" outlineLevel="0" max="3" min="3" style="0" width="29.11"/>
    <col collapsed="false" customWidth="true" hidden="false" outlineLevel="0" max="5" min="4" style="0" width="36.39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147</v>
      </c>
      <c r="C2" s="1"/>
      <c r="D2" s="1"/>
      <c r="E2" s="1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148</v>
      </c>
      <c r="C4" s="3"/>
      <c r="D4" s="3"/>
      <c r="E4" s="3"/>
    </row>
    <row r="5" customFormat="false" ht="27.75" hidden="false" customHeight="true" outlineLevel="0" collapsed="false">
      <c r="B5" s="4" t="s">
        <v>149</v>
      </c>
      <c r="C5" s="4" t="s">
        <v>150</v>
      </c>
      <c r="D5" s="4" t="s">
        <v>151</v>
      </c>
    </row>
    <row r="6" customFormat="false" ht="37.5" hidden="false" customHeight="true" outlineLevel="0" collapsed="false">
      <c r="B6" s="7" t="s">
        <v>152</v>
      </c>
      <c r="C6" s="7" t="s">
        <v>153</v>
      </c>
      <c r="D6" s="7" t="s">
        <v>154</v>
      </c>
      <c r="E6" s="7"/>
    </row>
    <row r="7" customFormat="false" ht="37.5" hidden="false" customHeight="true" outlineLevel="0" collapsed="false">
      <c r="B7" s="11" t="s">
        <v>155</v>
      </c>
      <c r="C7" s="11" t="s">
        <v>156</v>
      </c>
      <c r="D7" s="11" t="s">
        <v>157</v>
      </c>
      <c r="E7" s="11"/>
    </row>
    <row r="8" customFormat="false" ht="37.5" hidden="false" customHeight="true" outlineLevel="0" collapsed="false">
      <c r="B8" s="7" t="s">
        <v>158</v>
      </c>
      <c r="C8" s="7" t="s">
        <v>159</v>
      </c>
      <c r="D8" s="7" t="s">
        <v>160</v>
      </c>
      <c r="E8" s="7"/>
    </row>
    <row r="9" customFormat="false" ht="37.5" hidden="false" customHeight="true" outlineLevel="0" collapsed="false">
      <c r="B9" s="11" t="s">
        <v>161</v>
      </c>
      <c r="C9" s="11" t="s">
        <v>162</v>
      </c>
      <c r="D9" s="11" t="s">
        <v>163</v>
      </c>
      <c r="E9" s="11"/>
    </row>
    <row r="10" customFormat="false" ht="37.5" hidden="false" customHeight="true" outlineLevel="0" collapsed="false">
      <c r="B10" s="7" t="s">
        <v>164</v>
      </c>
      <c r="C10" s="7" t="s">
        <v>165</v>
      </c>
      <c r="D10" s="7" t="s">
        <v>166</v>
      </c>
      <c r="E10" s="7"/>
    </row>
    <row r="11" customFormat="false" ht="21.75" hidden="false" customHeight="true" outlineLevel="0" collapsed="false">
      <c r="B11" s="2" t="s">
        <v>167</v>
      </c>
    </row>
    <row r="12" customFormat="false" ht="21.75" hidden="false" customHeight="true" outlineLevel="0" collapsed="false"/>
    <row r="13" customFormat="false" ht="24" hidden="false" customHeight="true" outlineLevel="0" collapsed="false">
      <c r="B13" s="3" t="s">
        <v>168</v>
      </c>
      <c r="C13" s="3"/>
      <c r="D13" s="3"/>
      <c r="E13" s="3"/>
    </row>
    <row r="14" customFormat="false" ht="27.75" hidden="false" customHeight="true" outlineLevel="0" collapsed="false">
      <c r="B14" s="4" t="s">
        <v>91</v>
      </c>
      <c r="C14" s="4" t="s">
        <v>169</v>
      </c>
      <c r="D14" s="4" t="s">
        <v>170</v>
      </c>
      <c r="E14" s="4" t="s">
        <v>171</v>
      </c>
    </row>
    <row r="15" customFormat="false" ht="37.5" hidden="false" customHeight="true" outlineLevel="0" collapsed="false">
      <c r="B15" s="7" t="s">
        <v>103</v>
      </c>
      <c r="C15" s="7" t="s">
        <v>172</v>
      </c>
      <c r="D15" s="7" t="s">
        <v>173</v>
      </c>
      <c r="E15" s="7" t="s">
        <v>174</v>
      </c>
    </row>
    <row r="16" customFormat="false" ht="37.5" hidden="false" customHeight="true" outlineLevel="0" collapsed="false">
      <c r="B16" s="11" t="s">
        <v>132</v>
      </c>
      <c r="C16" s="11" t="s">
        <v>175</v>
      </c>
      <c r="D16" s="11" t="s">
        <v>176</v>
      </c>
      <c r="E16" s="11" t="s">
        <v>177</v>
      </c>
    </row>
    <row r="17" customFormat="false" ht="37.5" hidden="false" customHeight="true" outlineLevel="0" collapsed="false">
      <c r="B17" s="7" t="s">
        <v>133</v>
      </c>
      <c r="C17" s="7" t="s">
        <v>178</v>
      </c>
      <c r="D17" s="7" t="s">
        <v>179</v>
      </c>
      <c r="E17" s="7" t="s">
        <v>180</v>
      </c>
    </row>
    <row r="18" customFormat="false" ht="21.75" hidden="false" customHeight="true" outlineLevel="0" collapsed="false">
      <c r="B18" s="11" t="s">
        <v>134</v>
      </c>
      <c r="C18" s="11" t="s">
        <v>181</v>
      </c>
      <c r="D18" s="11" t="s">
        <v>182</v>
      </c>
      <c r="E18" s="11" t="s">
        <v>183</v>
      </c>
    </row>
    <row r="19" customFormat="false" ht="21.75" hidden="false" customHeight="true" outlineLevel="0" collapsed="false">
      <c r="B19" s="7" t="s">
        <v>135</v>
      </c>
      <c r="C19" s="7" t="s">
        <v>184</v>
      </c>
      <c r="D19" s="7" t="s">
        <v>185</v>
      </c>
      <c r="E19" s="7" t="s">
        <v>186</v>
      </c>
    </row>
    <row r="20" customFormat="false" ht="37.5" hidden="false" customHeight="true" outlineLevel="0" collapsed="false">
      <c r="B20" s="11" t="s">
        <v>136</v>
      </c>
      <c r="C20" s="11" t="s">
        <v>187</v>
      </c>
      <c r="D20" s="11" t="s">
        <v>188</v>
      </c>
      <c r="E20" s="11" t="s">
        <v>189</v>
      </c>
    </row>
    <row r="21" customFormat="false" ht="37.5" hidden="false" customHeight="true" outlineLevel="0" collapsed="false">
      <c r="B21" s="7" t="s">
        <v>137</v>
      </c>
      <c r="C21" s="7" t="s">
        <v>190</v>
      </c>
      <c r="D21" s="7" t="s">
        <v>191</v>
      </c>
      <c r="E21" s="7" t="s">
        <v>192</v>
      </c>
    </row>
    <row r="22" customFormat="false" ht="37.5" hidden="false" customHeight="true" outlineLevel="0" collapsed="false">
      <c r="B22" s="11" t="s">
        <v>138</v>
      </c>
      <c r="C22" s="11" t="s">
        <v>193</v>
      </c>
      <c r="D22" s="11" t="s">
        <v>194</v>
      </c>
      <c r="E22" s="11" t="s">
        <v>195</v>
      </c>
    </row>
    <row r="23" customFormat="false" ht="21.75" hidden="false" customHeight="true" outlineLevel="0" collapsed="false">
      <c r="B23" s="7" t="s">
        <v>139</v>
      </c>
      <c r="C23" s="7" t="s">
        <v>196</v>
      </c>
      <c r="D23" s="7" t="s">
        <v>197</v>
      </c>
      <c r="E23" s="7" t="s">
        <v>198</v>
      </c>
    </row>
    <row r="24" customFormat="false" ht="37.5" hidden="false" customHeight="true" outlineLevel="0" collapsed="false">
      <c r="B24" s="11" t="s">
        <v>140</v>
      </c>
      <c r="C24" s="11" t="s">
        <v>199</v>
      </c>
      <c r="D24" s="11" t="s">
        <v>200</v>
      </c>
      <c r="E24" s="11" t="s">
        <v>201</v>
      </c>
    </row>
    <row r="25" customFormat="false" ht="21.75" hidden="false" customHeight="true" outlineLevel="0" collapsed="false">
      <c r="B25" s="7" t="s">
        <v>141</v>
      </c>
      <c r="C25" s="7" t="s">
        <v>202</v>
      </c>
      <c r="D25" s="7" t="s">
        <v>203</v>
      </c>
      <c r="E25" s="7" t="s">
        <v>204</v>
      </c>
    </row>
    <row r="26" customFormat="false" ht="37.5" hidden="false" customHeight="true" outlineLevel="0" collapsed="false">
      <c r="B26" s="11" t="s">
        <v>142</v>
      </c>
      <c r="C26" s="11" t="s">
        <v>205</v>
      </c>
      <c r="D26" s="11" t="s">
        <v>206</v>
      </c>
      <c r="E26" s="11" t="s">
        <v>207</v>
      </c>
    </row>
    <row r="27" customFormat="false" ht="21.75" hidden="false" customHeight="true" outlineLevel="0" collapsed="false"/>
    <row r="28" customFormat="false" ht="24" hidden="false" customHeight="true" outlineLevel="0" collapsed="false">
      <c r="B28" s="3" t="s">
        <v>208</v>
      </c>
      <c r="C28" s="3"/>
      <c r="D28" s="3"/>
      <c r="E28" s="3"/>
    </row>
    <row r="29" customFormat="false" ht="21.75" hidden="false" customHeight="true" outlineLevel="0" collapsed="false">
      <c r="B29" s="5" t="s">
        <v>209</v>
      </c>
      <c r="C29" s="5" t="s">
        <v>210</v>
      </c>
      <c r="D29" s="5"/>
      <c r="E29" s="5"/>
    </row>
    <row r="30" customFormat="false" ht="21.75" hidden="false" customHeight="true" outlineLevel="0" collapsed="false">
      <c r="B30" s="6" t="s">
        <v>211</v>
      </c>
      <c r="C30" s="6" t="s">
        <v>212</v>
      </c>
      <c r="D30" s="6"/>
      <c r="E30" s="6"/>
    </row>
    <row r="31" customFormat="false" ht="21.75" hidden="false" customHeight="true" outlineLevel="0" collapsed="false">
      <c r="B31" s="5" t="s">
        <v>213</v>
      </c>
      <c r="C31" s="5" t="s">
        <v>214</v>
      </c>
      <c r="D31" s="5"/>
      <c r="E31" s="5"/>
    </row>
    <row r="32" customFormat="false" ht="21.75" hidden="false" customHeight="true" outlineLevel="0" collapsed="false">
      <c r="B32" s="6" t="s">
        <v>215</v>
      </c>
      <c r="C32" s="6" t="s">
        <v>216</v>
      </c>
      <c r="D32" s="6"/>
      <c r="E32" s="6"/>
    </row>
    <row r="33" customFormat="false" ht="21.75" hidden="false" customHeight="true" outlineLevel="0" collapsed="false">
      <c r="B33" s="5" t="s">
        <v>217</v>
      </c>
      <c r="C33" s="5" t="s">
        <v>218</v>
      </c>
      <c r="D33" s="5"/>
      <c r="E33" s="5"/>
    </row>
    <row r="34" customFormat="false" ht="21.75" hidden="false" customHeight="true" outlineLevel="0" collapsed="false">
      <c r="B34" s="6" t="s">
        <v>219</v>
      </c>
      <c r="C34" s="6" t="s">
        <v>220</v>
      </c>
      <c r="D34" s="6"/>
      <c r="E34" s="6"/>
    </row>
    <row r="35" customFormat="false" ht="21.75" hidden="false" customHeight="true" outlineLevel="0" collapsed="false">
      <c r="B35" s="5" t="s">
        <v>221</v>
      </c>
      <c r="C35" s="5" t="s">
        <v>222</v>
      </c>
      <c r="D35" s="5"/>
      <c r="E35" s="5"/>
    </row>
    <row r="36" customFormat="false" ht="21.75" hidden="false" customHeight="true" outlineLevel="0" collapsed="false">
      <c r="B36" s="6" t="s">
        <v>223</v>
      </c>
      <c r="C36" s="6" t="s">
        <v>224</v>
      </c>
      <c r="D36" s="6"/>
      <c r="E36" s="6"/>
    </row>
    <row r="37" customFormat="false" ht="21.75" hidden="false" customHeight="true" outlineLevel="0" collapsed="false">
      <c r="B37" s="5" t="s">
        <v>225</v>
      </c>
      <c r="C37" s="5" t="s">
        <v>226</v>
      </c>
      <c r="D37" s="5"/>
      <c r="E37" s="5"/>
    </row>
  </sheetData>
  <mergeCells count="4">
    <mergeCell ref="B2:E2"/>
    <mergeCell ref="B4:E4"/>
    <mergeCell ref="B13:E13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2026-10-22T06:45:27Z</dcterms:created>
  <dc:creator>Z.ai</dc:creator>
  <dc:description/>
  <dc:language>zh-CN</dc:language>
  <cp:lastModifiedBy/>
  <dcterms:modified xsi:type="dcterms:W3CDTF">2026-10-22T14:45:31Z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